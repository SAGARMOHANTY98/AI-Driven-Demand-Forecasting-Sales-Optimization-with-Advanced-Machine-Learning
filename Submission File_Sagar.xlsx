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rinterSettings/printerSettings1.bin" ContentType="application/vnd.openxmlformats-officedocument.spreadsheetml.printerSettings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E8182E3-7314-4327-9747-55A0D1060010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Dashboard" sheetId="9" r:id="rId1"/>
    <sheet name="Calculations" sheetId="1" r:id="rId2"/>
    <sheet name="Promo_Stockout_ Impact" sheetId="2" r:id="rId3"/>
    <sheet name="Forecast_Accuracy Metrics" sheetId="3" r:id="rId4"/>
    <sheet name="Monthly Forecast Accuracy Trend" sheetId="4" r:id="rId5"/>
    <sheet name="Region Category" sheetId="5" r:id="rId6"/>
    <sheet name="SKU_Pareto" sheetId="6" r:id="rId7"/>
    <sheet name="Pivot" sheetId="8" r:id="rId8"/>
  </sheets>
  <definedNames>
    <definedName name="_xlnm._FilterDatabase" localSheetId="1" hidden="1">Calculations!$A$1:$P$961</definedName>
  </definedNames>
  <calcPr calcId="191029" iterateDelta="1E-4"/>
  <pivotCaches>
    <pivotCache cacheId="65" r:id="rId9"/>
  </pivotCaches>
  <fileRecoveryPr repairLoad="1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2" i="1"/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4" i="4"/>
  <c r="D7" i="3"/>
  <c r="C7" i="3"/>
  <c r="D6" i="3"/>
  <c r="C6" i="3"/>
  <c r="D5" i="3"/>
  <c r="D6" i="9" s="1"/>
  <c r="D4" i="3"/>
  <c r="D3" i="3"/>
  <c r="C5" i="6"/>
  <c r="D5" i="6" s="1"/>
  <c r="C6" i="6"/>
  <c r="C7" i="6"/>
  <c r="H7" i="6" s="1"/>
  <c r="C8" i="6"/>
  <c r="D8" i="6" s="1"/>
  <c r="C9" i="6"/>
  <c r="C10" i="6"/>
  <c r="C11" i="6"/>
  <c r="H11" i="6" s="1"/>
  <c r="C12" i="6"/>
  <c r="C13" i="6"/>
  <c r="D13" i="6" s="1"/>
  <c r="C4" i="6"/>
  <c r="D5" i="5"/>
  <c r="D6" i="5"/>
  <c r="I10" i="9" s="1"/>
  <c r="D7" i="5"/>
  <c r="D4" i="5"/>
  <c r="D12" i="5"/>
  <c r="D13" i="5"/>
  <c r="D14" i="5"/>
  <c r="D15" i="5"/>
  <c r="D11" i="5"/>
  <c r="I55" i="2"/>
  <c r="G55" i="2"/>
  <c r="E55" i="2"/>
  <c r="C55" i="2"/>
  <c r="B7" i="3"/>
  <c r="E6" i="9" s="1"/>
  <c r="B6" i="3"/>
  <c r="G10" i="2"/>
  <c r="G9" i="2"/>
  <c r="G4" i="2"/>
  <c r="F10" i="2"/>
  <c r="F9" i="2"/>
  <c r="F4" i="2"/>
  <c r="G5" i="2"/>
  <c r="F5" i="2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M410" i="1" s="1"/>
  <c r="L411" i="1"/>
  <c r="M411" i="1" s="1"/>
  <c r="L412" i="1"/>
  <c r="L413" i="1"/>
  <c r="L414" i="1"/>
  <c r="M414" i="1" s="1"/>
  <c r="L415" i="1"/>
  <c r="M415" i="1" s="1"/>
  <c r="L416" i="1"/>
  <c r="M416" i="1" s="1"/>
  <c r="L417" i="1"/>
  <c r="L418" i="1"/>
  <c r="M418" i="1" s="1"/>
  <c r="L419" i="1"/>
  <c r="L420" i="1"/>
  <c r="L421" i="1"/>
  <c r="L422" i="1"/>
  <c r="M422" i="1" s="1"/>
  <c r="L423" i="1"/>
  <c r="L424" i="1"/>
  <c r="L425" i="1"/>
  <c r="M425" i="1" s="1"/>
  <c r="L426" i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E58" i="2" s="1"/>
  <c r="L474" i="1"/>
  <c r="M474" i="1" s="1"/>
  <c r="L475" i="1"/>
  <c r="M475" i="1" s="1"/>
  <c r="L476" i="1"/>
  <c r="M476" i="1" s="1"/>
  <c r="L477" i="1"/>
  <c r="M477" i="1" s="1"/>
  <c r="L478" i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E57" i="2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E51" i="2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386" i="1"/>
  <c r="C4" i="4" s="1"/>
  <c r="J387" i="1"/>
  <c r="J388" i="1"/>
  <c r="K388" i="1" s="1"/>
  <c r="J389" i="1"/>
  <c r="J390" i="1"/>
  <c r="J391" i="1"/>
  <c r="J392" i="1"/>
  <c r="J393" i="1"/>
  <c r="K393" i="1" s="1"/>
  <c r="J394" i="1"/>
  <c r="J395" i="1"/>
  <c r="J396" i="1"/>
  <c r="J397" i="1"/>
  <c r="K397" i="1" s="1"/>
  <c r="J398" i="1"/>
  <c r="J399" i="1"/>
  <c r="J400" i="1"/>
  <c r="J401" i="1"/>
  <c r="K401" i="1" s="1"/>
  <c r="J402" i="1"/>
  <c r="J403" i="1"/>
  <c r="J404" i="1"/>
  <c r="J405" i="1"/>
  <c r="K405" i="1" s="1"/>
  <c r="J406" i="1"/>
  <c r="J407" i="1"/>
  <c r="J408" i="1"/>
  <c r="J409" i="1"/>
  <c r="K409" i="1" s="1"/>
  <c r="J410" i="1"/>
  <c r="K410" i="1" s="1"/>
  <c r="J411" i="1"/>
  <c r="K411" i="1" s="1"/>
  <c r="J412" i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J420" i="1"/>
  <c r="J421" i="1"/>
  <c r="K421" i="1" s="1"/>
  <c r="J422" i="1"/>
  <c r="K422" i="1" s="1"/>
  <c r="J423" i="1"/>
  <c r="J424" i="1"/>
  <c r="J425" i="1"/>
  <c r="K425" i="1" s="1"/>
  <c r="J426" i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C58" i="2" s="1"/>
  <c r="J474" i="1"/>
  <c r="K474" i="1" s="1"/>
  <c r="J475" i="1"/>
  <c r="K475" i="1" s="1"/>
  <c r="J476" i="1"/>
  <c r="K476" i="1" s="1"/>
  <c r="J477" i="1"/>
  <c r="K477" i="1" s="1"/>
  <c r="J478" i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C57" i="2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C51" i="2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386" i="1"/>
  <c r="B4" i="4" s="1"/>
  <c r="H25" i="2" l="1"/>
  <c r="I33" i="2"/>
  <c r="I37" i="2"/>
  <c r="H29" i="2"/>
  <c r="H33" i="2"/>
  <c r="H17" i="2"/>
  <c r="I17" i="2"/>
  <c r="E27" i="4"/>
  <c r="E15" i="4"/>
  <c r="G37" i="2"/>
  <c r="B26" i="4"/>
  <c r="B14" i="4"/>
  <c r="G57" i="2"/>
  <c r="E19" i="4"/>
  <c r="B7" i="4"/>
  <c r="H26" i="2"/>
  <c r="I18" i="2"/>
  <c r="C23" i="4"/>
  <c r="C19" i="4"/>
  <c r="C15" i="4"/>
  <c r="C11" i="4"/>
  <c r="C7" i="4"/>
  <c r="G18" i="2"/>
  <c r="G29" i="2"/>
  <c r="B10" i="4"/>
  <c r="C26" i="4"/>
  <c r="C36" i="2"/>
  <c r="B25" i="4"/>
  <c r="B21" i="4"/>
  <c r="G28" i="2"/>
  <c r="G24" i="2"/>
  <c r="B9" i="4"/>
  <c r="B5" i="4"/>
  <c r="H28" i="2"/>
  <c r="H24" i="2"/>
  <c r="C25" i="4"/>
  <c r="C21" i="4"/>
  <c r="C17" i="4"/>
  <c r="C13" i="4"/>
  <c r="C9" i="4"/>
  <c r="C5" i="4"/>
  <c r="G26" i="2"/>
  <c r="I25" i="2"/>
  <c r="E23" i="4"/>
  <c r="E11" i="4"/>
  <c r="H22" i="2"/>
  <c r="C27" i="4"/>
  <c r="G34" i="2"/>
  <c r="B22" i="4"/>
  <c r="C22" i="4"/>
  <c r="C18" i="4"/>
  <c r="C14" i="4"/>
  <c r="C10" i="4"/>
  <c r="C6" i="4"/>
  <c r="G30" i="2"/>
  <c r="H37" i="2"/>
  <c r="H21" i="2"/>
  <c r="I29" i="2"/>
  <c r="B14" i="5"/>
  <c r="B12" i="5"/>
  <c r="B15" i="5"/>
  <c r="B11" i="5"/>
  <c r="G31" i="2"/>
  <c r="B24" i="4"/>
  <c r="B20" i="4"/>
  <c r="B16" i="4"/>
  <c r="G23" i="2"/>
  <c r="B8" i="4"/>
  <c r="C12" i="5"/>
  <c r="C15" i="5"/>
  <c r="C11" i="5"/>
  <c r="H35" i="2"/>
  <c r="H23" i="2"/>
  <c r="I31" i="2"/>
  <c r="C24" i="4"/>
  <c r="C20" i="4"/>
  <c r="C16" i="4"/>
  <c r="C12" i="4"/>
  <c r="C8" i="4"/>
  <c r="G38" i="2"/>
  <c r="G22" i="2"/>
  <c r="I21" i="2"/>
  <c r="I65" i="2"/>
  <c r="C14" i="5"/>
  <c r="I61" i="2"/>
  <c r="I57" i="2"/>
  <c r="I53" i="2"/>
  <c r="I49" i="2"/>
  <c r="I45" i="2"/>
  <c r="B18" i="4"/>
  <c r="B6" i="4"/>
  <c r="G4" i="6"/>
  <c r="F10" i="6"/>
  <c r="F6" i="6"/>
  <c r="F13" i="6"/>
  <c r="G7" i="6"/>
  <c r="B5" i="3"/>
  <c r="B6" i="9" s="1"/>
  <c r="G53" i="2"/>
  <c r="G45" i="2"/>
  <c r="G33" i="2"/>
  <c r="G25" i="2"/>
  <c r="G21" i="2"/>
  <c r="G17" i="2"/>
  <c r="H36" i="2"/>
  <c r="H32" i="2"/>
  <c r="H20" i="2"/>
  <c r="H16" i="2"/>
  <c r="I36" i="2"/>
  <c r="I32" i="2"/>
  <c r="I28" i="2"/>
  <c r="I24" i="2"/>
  <c r="I20" i="2"/>
  <c r="I16" i="2"/>
  <c r="G64" i="2"/>
  <c r="G60" i="2"/>
  <c r="G56" i="2"/>
  <c r="G52" i="2"/>
  <c r="G48" i="2"/>
  <c r="G44" i="2"/>
  <c r="I64" i="2"/>
  <c r="I60" i="2"/>
  <c r="I56" i="2"/>
  <c r="I52" i="2"/>
  <c r="I48" i="2"/>
  <c r="I44" i="2"/>
  <c r="B17" i="4"/>
  <c r="B13" i="4"/>
  <c r="D9" i="6"/>
  <c r="E8" i="9"/>
  <c r="F9" i="6"/>
  <c r="G8" i="9" s="1"/>
  <c r="G65" i="2"/>
  <c r="G61" i="2"/>
  <c r="G49" i="2"/>
  <c r="C54" i="2"/>
  <c r="E34" i="2"/>
  <c r="G36" i="2"/>
  <c r="G32" i="2"/>
  <c r="G20" i="2"/>
  <c r="G16" i="2"/>
  <c r="H31" i="2"/>
  <c r="H27" i="2"/>
  <c r="H19" i="2"/>
  <c r="I15" i="2"/>
  <c r="I35" i="2"/>
  <c r="I27" i="2"/>
  <c r="I23" i="2"/>
  <c r="I19" i="2"/>
  <c r="G43" i="2"/>
  <c r="G63" i="2"/>
  <c r="G59" i="2"/>
  <c r="G51" i="2"/>
  <c r="G47" i="2"/>
  <c r="I43" i="2"/>
  <c r="I63" i="2"/>
  <c r="I59" i="2"/>
  <c r="I51" i="2"/>
  <c r="I47" i="2"/>
  <c r="D4" i="2"/>
  <c r="B12" i="4"/>
  <c r="G12" i="6"/>
  <c r="G8" i="6"/>
  <c r="D12" i="6"/>
  <c r="F5" i="6"/>
  <c r="G15" i="2"/>
  <c r="G35" i="2"/>
  <c r="G27" i="2"/>
  <c r="G19" i="2"/>
  <c r="H38" i="2"/>
  <c r="H34" i="2"/>
  <c r="H30" i="2"/>
  <c r="H18" i="2"/>
  <c r="I38" i="2"/>
  <c r="I34" i="2"/>
  <c r="I30" i="2"/>
  <c r="I26" i="2"/>
  <c r="I22" i="2"/>
  <c r="G66" i="2"/>
  <c r="G62" i="2"/>
  <c r="G58" i="2"/>
  <c r="G54" i="2"/>
  <c r="G50" i="2"/>
  <c r="G46" i="2"/>
  <c r="I66" i="2"/>
  <c r="I62" i="2"/>
  <c r="I58" i="2"/>
  <c r="I54" i="2"/>
  <c r="I50" i="2"/>
  <c r="I46" i="2"/>
  <c r="B27" i="4"/>
  <c r="B23" i="4"/>
  <c r="B19" i="4"/>
  <c r="B15" i="4"/>
  <c r="B11" i="4"/>
  <c r="G11" i="6"/>
  <c r="H10" i="6"/>
  <c r="D11" i="6"/>
  <c r="D7" i="6"/>
  <c r="F12" i="6"/>
  <c r="F8" i="6"/>
  <c r="F4" i="6"/>
  <c r="G10" i="6"/>
  <c r="G6" i="6"/>
  <c r="H13" i="6"/>
  <c r="H9" i="6"/>
  <c r="K8" i="9" s="1"/>
  <c r="H5" i="6"/>
  <c r="H4" i="6"/>
  <c r="D4" i="6"/>
  <c r="E4" i="6" s="1"/>
  <c r="E5" i="6" s="1"/>
  <c r="D10" i="6"/>
  <c r="D6" i="6"/>
  <c r="F11" i="6"/>
  <c r="F7" i="6"/>
  <c r="G13" i="6"/>
  <c r="G9" i="6"/>
  <c r="I8" i="9" s="1"/>
  <c r="G5" i="6"/>
  <c r="H12" i="6"/>
  <c r="H8" i="6"/>
  <c r="H6" i="6"/>
  <c r="C66" i="2"/>
  <c r="C25" i="2"/>
  <c r="E52" i="2"/>
  <c r="E5" i="2"/>
  <c r="C21" i="2"/>
  <c r="C17" i="2"/>
  <c r="C49" i="2"/>
  <c r="C61" i="2"/>
  <c r="C33" i="2"/>
  <c r="C45" i="2"/>
  <c r="E21" i="2"/>
  <c r="C62" i="2"/>
  <c r="C34" i="2"/>
  <c r="B26" i="2"/>
  <c r="C18" i="2"/>
  <c r="B46" i="2"/>
  <c r="B62" i="2"/>
  <c r="B34" i="2"/>
  <c r="B54" i="2"/>
  <c r="C26" i="2"/>
  <c r="F65" i="2"/>
  <c r="F29" i="2"/>
  <c r="F37" i="2"/>
  <c r="F57" i="2"/>
  <c r="F49" i="2"/>
  <c r="F21" i="2"/>
  <c r="E25" i="2"/>
  <c r="E49" i="2"/>
  <c r="H65" i="2"/>
  <c r="M432" i="1"/>
  <c r="E61" i="2"/>
  <c r="E33" i="2"/>
  <c r="M424" i="1"/>
  <c r="D29" i="2" s="1"/>
  <c r="H45" i="2"/>
  <c r="M412" i="1"/>
  <c r="D45" i="2" s="1"/>
  <c r="H61" i="2"/>
  <c r="M404" i="1"/>
  <c r="F22" i="4" s="1"/>
  <c r="H57" i="2"/>
  <c r="M400" i="1"/>
  <c r="M396" i="1"/>
  <c r="H49" i="2"/>
  <c r="M392" i="1"/>
  <c r="F10" i="4" s="1"/>
  <c r="M388" i="1"/>
  <c r="F6" i="4" s="1"/>
  <c r="C30" i="2"/>
  <c r="B22" i="2"/>
  <c r="B66" i="2"/>
  <c r="B38" i="2"/>
  <c r="B58" i="2"/>
  <c r="B30" i="2"/>
  <c r="B50" i="2"/>
  <c r="C22" i="2"/>
  <c r="C44" i="2"/>
  <c r="C48" i="2"/>
  <c r="C56" i="2"/>
  <c r="C20" i="2"/>
  <c r="F24" i="2"/>
  <c r="K419" i="1"/>
  <c r="B24" i="2" s="1"/>
  <c r="F32" i="2"/>
  <c r="F60" i="2"/>
  <c r="K403" i="1"/>
  <c r="E21" i="4" s="1"/>
  <c r="F52" i="2"/>
  <c r="K395" i="1"/>
  <c r="F48" i="2"/>
  <c r="F20" i="2"/>
  <c r="K391" i="1"/>
  <c r="E9" i="4" s="1"/>
  <c r="E32" i="2"/>
  <c r="E48" i="2"/>
  <c r="E56" i="2"/>
  <c r="E36" i="2"/>
  <c r="E16" i="2"/>
  <c r="M423" i="1"/>
  <c r="D28" i="2" s="1"/>
  <c r="M419" i="1"/>
  <c r="D24" i="2" s="1"/>
  <c r="H64" i="2"/>
  <c r="M407" i="1"/>
  <c r="F25" i="4" s="1"/>
  <c r="H60" i="2"/>
  <c r="M403" i="1"/>
  <c r="F21" i="4" s="1"/>
  <c r="H56" i="2"/>
  <c r="M399" i="1"/>
  <c r="H52" i="2"/>
  <c r="M395" i="1"/>
  <c r="F13" i="4" s="1"/>
  <c r="H48" i="2"/>
  <c r="M391" i="1"/>
  <c r="F9" i="4" s="1"/>
  <c r="H44" i="2"/>
  <c r="D5" i="2"/>
  <c r="E9" i="2"/>
  <c r="K432" i="1"/>
  <c r="K424" i="1"/>
  <c r="B29" i="2" s="1"/>
  <c r="K408" i="1"/>
  <c r="K400" i="1"/>
  <c r="K392" i="1"/>
  <c r="E10" i="4" s="1"/>
  <c r="F43" i="2"/>
  <c r="F15" i="2"/>
  <c r="K386" i="1"/>
  <c r="C47" i="2"/>
  <c r="C63" i="2"/>
  <c r="C19" i="2"/>
  <c r="C27" i="2"/>
  <c r="F35" i="2"/>
  <c r="K478" i="1"/>
  <c r="B35" i="2" s="1"/>
  <c r="C43" i="2"/>
  <c r="C15" i="2"/>
  <c r="F23" i="2"/>
  <c r="K442" i="1"/>
  <c r="B23" i="2" s="1"/>
  <c r="F59" i="2"/>
  <c r="K426" i="1"/>
  <c r="F63" i="2"/>
  <c r="K406" i="1"/>
  <c r="E24" i="4" s="1"/>
  <c r="F31" i="2"/>
  <c r="K402" i="1"/>
  <c r="E20" i="4" s="1"/>
  <c r="F27" i="2"/>
  <c r="F55" i="2"/>
  <c r="K398" i="1"/>
  <c r="E16" i="4" s="1"/>
  <c r="F51" i="2"/>
  <c r="K394" i="1"/>
  <c r="F19" i="2"/>
  <c r="F47" i="2"/>
  <c r="K390" i="1"/>
  <c r="E8" i="4" s="1"/>
  <c r="H15" i="2"/>
  <c r="H43" i="2"/>
  <c r="M386" i="1"/>
  <c r="E47" i="2"/>
  <c r="E63" i="2"/>
  <c r="E19" i="2"/>
  <c r="E27" i="2"/>
  <c r="M478" i="1"/>
  <c r="D35" i="2" s="1"/>
  <c r="E15" i="2"/>
  <c r="E43" i="2"/>
  <c r="M442" i="1"/>
  <c r="D23" i="2" s="1"/>
  <c r="H59" i="2"/>
  <c r="M426" i="1"/>
  <c r="M406" i="1"/>
  <c r="F24" i="4" s="1"/>
  <c r="H63" i="2"/>
  <c r="M402" i="1"/>
  <c r="H55" i="2"/>
  <c r="M398" i="1"/>
  <c r="F16" i="4" s="1"/>
  <c r="M394" i="1"/>
  <c r="F12" i="4" s="1"/>
  <c r="H51" i="2"/>
  <c r="M390" i="1"/>
  <c r="F8" i="4" s="1"/>
  <c r="H47" i="2"/>
  <c r="D9" i="2"/>
  <c r="E10" i="2"/>
  <c r="C3" i="3"/>
  <c r="C5" i="3"/>
  <c r="C6" i="9" s="1"/>
  <c r="M408" i="1"/>
  <c r="F53" i="2"/>
  <c r="F45" i="2"/>
  <c r="F61" i="2"/>
  <c r="F33" i="2"/>
  <c r="F25" i="2"/>
  <c r="F17" i="2"/>
  <c r="E17" i="2"/>
  <c r="H53" i="2"/>
  <c r="M420" i="1"/>
  <c r="D53" i="2" s="1"/>
  <c r="E4" i="2"/>
  <c r="C50" i="2"/>
  <c r="C38" i="2"/>
  <c r="C32" i="2"/>
  <c r="C52" i="2"/>
  <c r="C64" i="2"/>
  <c r="C60" i="2"/>
  <c r="C16" i="2"/>
  <c r="F28" i="2"/>
  <c r="K423" i="1"/>
  <c r="B28" i="2" s="1"/>
  <c r="F64" i="2"/>
  <c r="F36" i="2"/>
  <c r="K407" i="1"/>
  <c r="E25" i="4" s="1"/>
  <c r="F56" i="2"/>
  <c r="K399" i="1"/>
  <c r="F16" i="2"/>
  <c r="F44" i="2"/>
  <c r="E44" i="2"/>
  <c r="E64" i="2"/>
  <c r="E60" i="2"/>
  <c r="E20" i="2"/>
  <c r="B3" i="3"/>
  <c r="F26" i="2"/>
  <c r="F22" i="2"/>
  <c r="F46" i="2"/>
  <c r="F66" i="2"/>
  <c r="F38" i="2"/>
  <c r="F62" i="2"/>
  <c r="F34" i="2"/>
  <c r="F58" i="2"/>
  <c r="F30" i="2"/>
  <c r="F54" i="2"/>
  <c r="F50" i="2"/>
  <c r="F18" i="2"/>
  <c r="K389" i="1"/>
  <c r="E7" i="4" s="1"/>
  <c r="E66" i="2"/>
  <c r="E50" i="2"/>
  <c r="E54" i="2"/>
  <c r="E62" i="2"/>
  <c r="E30" i="2"/>
  <c r="E38" i="2"/>
  <c r="M421" i="1"/>
  <c r="D26" i="2" s="1"/>
  <c r="M417" i="1"/>
  <c r="D22" i="2" s="1"/>
  <c r="H46" i="2"/>
  <c r="M413" i="1"/>
  <c r="H66" i="2"/>
  <c r="M409" i="1"/>
  <c r="F27" i="4" s="1"/>
  <c r="H62" i="2"/>
  <c r="M405" i="1"/>
  <c r="F23" i="4" s="1"/>
  <c r="H58" i="2"/>
  <c r="M401" i="1"/>
  <c r="F19" i="4" s="1"/>
  <c r="H54" i="2"/>
  <c r="M397" i="1"/>
  <c r="H50" i="2"/>
  <c r="M393" i="1"/>
  <c r="F11" i="4" s="1"/>
  <c r="M389" i="1"/>
  <c r="D10" i="2"/>
  <c r="K420" i="1"/>
  <c r="B53" i="2" s="1"/>
  <c r="K412" i="1"/>
  <c r="B45" i="2" s="1"/>
  <c r="K404" i="1"/>
  <c r="K396" i="1"/>
  <c r="K387" i="1"/>
  <c r="E5" i="4" s="1"/>
  <c r="M387" i="1"/>
  <c r="F5" i="4" s="1"/>
  <c r="E13" i="4" l="1"/>
  <c r="F26" i="4"/>
  <c r="F18" i="4"/>
  <c r="C6" i="5"/>
  <c r="G10" i="9" s="1"/>
  <c r="B6" i="5"/>
  <c r="E10" i="9" s="1"/>
  <c r="C5" i="5"/>
  <c r="B5" i="5"/>
  <c r="E14" i="4"/>
  <c r="F15" i="4"/>
  <c r="E12" i="4"/>
  <c r="F17" i="4"/>
  <c r="B4" i="2"/>
  <c r="E22" i="4"/>
  <c r="F7" i="4"/>
  <c r="F20" i="4"/>
  <c r="B13" i="5"/>
  <c r="E4" i="4"/>
  <c r="B4" i="5"/>
  <c r="E18" i="4"/>
  <c r="C7" i="5"/>
  <c r="B7" i="5"/>
  <c r="E17" i="4"/>
  <c r="F4" i="4"/>
  <c r="C4" i="3"/>
  <c r="C13" i="5"/>
  <c r="C4" i="5"/>
  <c r="E26" i="4"/>
  <c r="F14" i="4"/>
  <c r="E6" i="4"/>
  <c r="E6" i="6"/>
  <c r="E7" i="6" s="1"/>
  <c r="E8" i="6" s="1"/>
  <c r="E9" i="6" s="1"/>
  <c r="E10" i="6" s="1"/>
  <c r="E11" i="6" s="1"/>
  <c r="E12" i="6" s="1"/>
  <c r="E13" i="6" s="1"/>
  <c r="B4" i="3"/>
  <c r="D58" i="2"/>
  <c r="D30" i="2"/>
  <c r="B56" i="2"/>
  <c r="C28" i="2"/>
  <c r="B5" i="2"/>
  <c r="B51" i="2"/>
  <c r="C23" i="2"/>
  <c r="C65" i="2"/>
  <c r="B37" i="2"/>
  <c r="D49" i="2"/>
  <c r="D21" i="2"/>
  <c r="C10" i="2"/>
  <c r="E59" i="2"/>
  <c r="D31" i="2"/>
  <c r="E35" i="2"/>
  <c r="D63" i="2"/>
  <c r="B10" i="2"/>
  <c r="C59" i="2"/>
  <c r="B31" i="2"/>
  <c r="B43" i="2"/>
  <c r="B15" i="2"/>
  <c r="D48" i="2"/>
  <c r="D20" i="2"/>
  <c r="D56" i="2"/>
  <c r="E28" i="2"/>
  <c r="D64" i="2"/>
  <c r="D36" i="2"/>
  <c r="B20" i="2"/>
  <c r="B48" i="2"/>
  <c r="B60" i="2"/>
  <c r="B32" i="2"/>
  <c r="E45" i="2"/>
  <c r="D17" i="2"/>
  <c r="E53" i="2"/>
  <c r="D25" i="2"/>
  <c r="B17" i="2"/>
  <c r="D44" i="2"/>
  <c r="D16" i="2"/>
  <c r="E29" i="2"/>
  <c r="D57" i="2"/>
  <c r="D54" i="2"/>
  <c r="E26" i="2"/>
  <c r="C53" i="2"/>
  <c r="B25" i="2"/>
  <c r="C5" i="2"/>
  <c r="E23" i="2"/>
  <c r="D51" i="2"/>
  <c r="D43" i="2"/>
  <c r="D15" i="2"/>
  <c r="B59" i="2"/>
  <c r="C31" i="2"/>
  <c r="B49" i="2"/>
  <c r="B21" i="2"/>
  <c r="B65" i="2"/>
  <c r="C37" i="2"/>
  <c r="D52" i="2"/>
  <c r="E24" i="2"/>
  <c r="B52" i="2"/>
  <c r="C24" i="2"/>
  <c r="D65" i="2"/>
  <c r="E37" i="2"/>
  <c r="D18" i="2"/>
  <c r="E46" i="2"/>
  <c r="E31" i="2"/>
  <c r="D59" i="2"/>
  <c r="D60" i="2"/>
  <c r="D32" i="2"/>
  <c r="C4" i="2"/>
  <c r="B44" i="2"/>
  <c r="B16" i="2"/>
  <c r="D62" i="2"/>
  <c r="D34" i="2"/>
  <c r="C46" i="2"/>
  <c r="B18" i="2"/>
  <c r="D50" i="2"/>
  <c r="E22" i="2"/>
  <c r="D66" i="2"/>
  <c r="D38" i="2"/>
  <c r="D46" i="2"/>
  <c r="E18" i="2"/>
  <c r="B9" i="2"/>
  <c r="B61" i="2"/>
  <c r="B33" i="2"/>
  <c r="B36" i="2"/>
  <c r="B64" i="2"/>
  <c r="E65" i="2"/>
  <c r="D37" i="2"/>
  <c r="C9" i="2"/>
  <c r="D47" i="2"/>
  <c r="D19" i="2"/>
  <c r="D55" i="2"/>
  <c r="D27" i="2"/>
  <c r="B47" i="2"/>
  <c r="B19" i="2"/>
  <c r="B27" i="2"/>
  <c r="B55" i="2"/>
  <c r="B63" i="2"/>
  <c r="C35" i="2"/>
  <c r="B57" i="2"/>
  <c r="C29" i="2"/>
  <c r="D61" i="2"/>
  <c r="D33" i="2"/>
</calcChain>
</file>

<file path=xl/sharedStrings.xml><?xml version="1.0" encoding="utf-8"?>
<sst xmlns="http://schemas.openxmlformats.org/spreadsheetml/2006/main" count="4105" uniqueCount="128">
  <si>
    <t>SKU</t>
  </si>
  <si>
    <t>Category</t>
  </si>
  <si>
    <t>Region</t>
  </si>
  <si>
    <t>Month</t>
  </si>
  <si>
    <t>Actual_Sales</t>
  </si>
  <si>
    <t>Statistical_Forecast</t>
  </si>
  <si>
    <t>Consensus_Forecast</t>
  </si>
  <si>
    <t>Promotion_Flag</t>
  </si>
  <si>
    <t>Stockout_Flag</t>
  </si>
  <si>
    <t>SKU-OS-01</t>
  </si>
  <si>
    <t>Orthopedic Screws</t>
  </si>
  <si>
    <t>APAC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</si>
  <si>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</si>
  <si>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</si>
  <si>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</si>
  <si>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</si>
  <si>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</si>
  <si>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</si>
  <si>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</si>
  <si>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</si>
  <si>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</si>
  <si>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</si>
  <si>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</si>
  <si>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</si>
  <si>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</si>
  <si>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</si>
  <si>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</si>
  <si>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</si>
  <si>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</si>
  <si>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</si>
  <si>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</si>
  <si>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</si>
  <si>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</si>
  <si>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</si>
  <si>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</si>
  <si>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</si>
  <si>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EMEA</t>
  </si>
  <si>
    <t>LATAM</t>
  </si>
  <si>
    <t>North America</t>
  </si>
  <si>
    <t>SKU-OS-02</t>
  </si>
  <si>
    <t>SKU-IP-01</t>
  </si>
  <si>
    <t>Infusion Pumps</t>
  </si>
  <si>
    <t>SKU-IP-02</t>
  </si>
  <si>
    <t>SKU-SL-01</t>
  </si>
  <si>
    <t>Surgical Lasers</t>
  </si>
  <si>
    <t>SKU-SL-02</t>
  </si>
  <si>
    <t>SKU-MRI-01</t>
  </si>
  <si>
    <t>MRI Coils</t>
  </si>
  <si>
    <t>SKU-MRI-02</t>
  </si>
  <si>
    <t>SKU-ST-01</t>
  </si>
  <si>
    <t>Stents (Cardiac)</t>
  </si>
  <si>
    <t>SKU-ST-02</t>
  </si>
  <si>
    <t>Stat_AbsErr</t>
  </si>
  <si>
    <t>Stat_APE</t>
  </si>
  <si>
    <t>Cons_AbsErr</t>
  </si>
  <si>
    <t>Cons_APE</t>
  </si>
  <si>
    <t>Improved_Stat_Forecast</t>
  </si>
  <si>
    <t>ImpStat_AbsErr</t>
  </si>
  <si>
    <t>ImpStat_APE</t>
  </si>
  <si>
    <t>Effect of Promotions &amp; Stockouts on Forecast Accuracy</t>
  </si>
  <si>
    <t>Statistical_MAPE</t>
  </si>
  <si>
    <t>Consensus_MAPE</t>
  </si>
  <si>
    <t>Statistical_WAPE</t>
  </si>
  <si>
    <t>Consensus_WAPE</t>
  </si>
  <si>
    <t>Avg_Actual_Sales</t>
  </si>
  <si>
    <t>Row_Count</t>
  </si>
  <si>
    <t>Metric</t>
  </si>
  <si>
    <t>Statistical Forecast</t>
  </si>
  <si>
    <t>Consensus Forecast</t>
  </si>
  <si>
    <t>Improved Statistical Forecast</t>
  </si>
  <si>
    <t>MAE</t>
  </si>
  <si>
    <t>MAPE (%)</t>
  </si>
  <si>
    <t>WAPE (%)</t>
  </si>
  <si>
    <t>RMSE</t>
  </si>
  <si>
    <t>Bias (Mean Error)</t>
  </si>
  <si>
    <t>Month-wise Accuracy Split by Promotion Flag</t>
  </si>
  <si>
    <t>Stat_MAPE_NoPromo</t>
  </si>
  <si>
    <t>Stat_MAPE_Promo</t>
  </si>
  <si>
    <t>Cons_MAPE_NoPromo</t>
  </si>
  <si>
    <t>Cons_MAPE_Promo</t>
  </si>
  <si>
    <t>Stat_WAPE_NoPromo</t>
  </si>
  <si>
    <t>Stat_WAPE_Promo</t>
  </si>
  <si>
    <t>Cons_WAPE_NoPromo</t>
  </si>
  <si>
    <t>Cons_WAPE_Promo</t>
  </si>
  <si>
    <t>Month-wise Accuracy Split by Stockout Flag</t>
  </si>
  <si>
    <t>Stat_MAPE_NoStockout</t>
  </si>
  <si>
    <t>Stat_MAPE_Stockout</t>
  </si>
  <si>
    <t>Cons_MAPE_NoStockout</t>
  </si>
  <si>
    <t>Cons_MAPE_Stockout</t>
  </si>
  <si>
    <t>Stat_WAPE_NoStockout</t>
  </si>
  <si>
    <t>Stat_WAPE_Stockout</t>
  </si>
  <si>
    <t>Cons_WAPE_NoStockout</t>
  </si>
  <si>
    <t>Cons_WAPE_Stockout</t>
  </si>
  <si>
    <t>#DIV/0!  Indicates that there were no stockout in 2025-01 in any region</t>
  </si>
  <si>
    <t>Monthly Forecast Accuracy Trend</t>
  </si>
  <si>
    <t>Improved_Stat_WAPE</t>
  </si>
  <si>
    <t>Improved_Stat_MAPE</t>
  </si>
  <si>
    <t>Accuracy by Region and Category</t>
  </si>
  <si>
    <t>MAPE_Statistical</t>
  </si>
  <si>
    <t>MAPE_Consensus</t>
  </si>
  <si>
    <t>MAPE_Improved_Stat</t>
  </si>
  <si>
    <t>SKU-Level Accuracy &amp; Pareto (Volume) Analysis</t>
  </si>
  <si>
    <t>%_of_Total</t>
  </si>
  <si>
    <t>Cumulative_%</t>
  </si>
  <si>
    <t>WAPE_Statistical</t>
  </si>
  <si>
    <t>WAPE_Consensus</t>
  </si>
  <si>
    <t>WAPE_Improved_Stat</t>
  </si>
  <si>
    <t xml:space="preserve">Total_Actual_Sales </t>
  </si>
  <si>
    <t>Grand Total</t>
  </si>
  <si>
    <t>Sum of Actual_Sales</t>
  </si>
  <si>
    <t>Sum of Statistical_Forecast</t>
  </si>
  <si>
    <t>Sum of Consensus_Forecast</t>
  </si>
  <si>
    <t>(All)</t>
  </si>
  <si>
    <t>Medical Devices - Forecast Accuracy Dashboard</t>
  </si>
  <si>
    <t>Statistical vs Consensus vs Improved Statistical Forecast</t>
  </si>
  <si>
    <t>Statistical WAPE</t>
  </si>
  <si>
    <t>Consensus WAPE</t>
  </si>
  <si>
    <t>Improved Stat. WAPE</t>
  </si>
  <si>
    <t>Statistical Bias (ME)</t>
  </si>
  <si>
    <t>Select a SKU to drill down:</t>
  </si>
  <si>
    <t>Total Volume:</t>
  </si>
  <si>
    <t>Select a Region to drill down:</t>
  </si>
  <si>
    <t>Stat MAPE:</t>
  </si>
  <si>
    <t>Cons_ WAPE:</t>
  </si>
  <si>
    <t>Stat_ WAPE:</t>
  </si>
  <si>
    <t>Cons_MAPE:</t>
  </si>
  <si>
    <t>Improved_MAPE:</t>
  </si>
  <si>
    <t>Improved_WAPE: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</si>
</sst>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%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74151"/>
      <name val="Arial Black"/>
      <family val="2"/>
    </font>
    <font>
      <sz val="10"/>
      <color theme="1"/>
      <name val="Arial Black"/>
      <family val="2"/>
    </font>
    <font>
      <sz val="10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6"/>
      <color theme="3" tint="0.39997558519241921"/>
      <name val="Arial Black"/>
      <family val="2"/>
    </font>
    <font>
      <sz val="10"/>
      <color rgb="FF595959"/>
      <name val="Arial"/>
      <family val="2"/>
    </font>
    <font>
      <b/>
      <sz val="20"/>
      <color rgb="FF1F4E78"/>
      <name val="Arial"/>
      <family val="2"/>
    </font>
    <font>
      <b/>
      <sz val="12"/>
      <color rgb="FF1F4E78"/>
      <name val="Arial"/>
      <family val="2"/>
    </font>
    <font>
      <b/>
      <sz val="12"/>
      <color rgb="FF0E7C7B"/>
      <name val="Arial"/>
      <family val="2"/>
    </font>
    <font>
      <b/>
      <sz val="11"/>
      <color rgb="FFC0392B"/>
      <name val="Arial"/>
      <family val="2"/>
    </font>
    <font>
      <b/>
      <sz val="11"/>
      <color rgb="FF0E7C7B"/>
      <name val="Arial"/>
      <family val="2"/>
    </font>
    <font>
      <b/>
      <sz val="11"/>
      <color rgb="FFF2A541"/>
      <name val="Arial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3" tint="-0.249977111117893"/>
        <bgColor rgb="FF003366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1" xfId="0" applyBorder="1"/>
    <xf numFmtId="0" fontId="2" fillId="0" borderId="0" xfId="0" applyFont="1"/>
    <xf numFmtId="0" fontId="3" fillId="0" borderId="0" xfId="0" applyFont="1" applyBorder="1"/>
    <xf numFmtId="0" fontId="4" fillId="0" borderId="0" xfId="0" applyFont="1" applyBorder="1"/>
    <xf numFmtId="0" fontId="4" fillId="0" borderId="0" xfId="0" applyFont="1"/>
    <xf numFmtId="0" fontId="7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0" fillId="0" borderId="5" xfId="0" applyBorder="1"/>
    <xf numFmtId="0" fontId="0" fillId="4" borderId="1" xfId="0" applyFont="1" applyFill="1" applyBorder="1"/>
    <xf numFmtId="0" fontId="0" fillId="5" borderId="1" xfId="0" applyFont="1" applyFill="1" applyBorder="1"/>
    <xf numFmtId="0" fontId="0" fillId="6" borderId="5" xfId="0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5" fillId="2" borderId="1" xfId="0" applyFont="1" applyFill="1" applyBorder="1"/>
    <xf numFmtId="0" fontId="8" fillId="0" borderId="1" xfId="0" applyFont="1" applyBorder="1"/>
    <xf numFmtId="168" fontId="8" fillId="0" borderId="1" xfId="0" applyNumberFormat="1" applyFont="1" applyBorder="1" applyAlignment="1">
      <alignment horizontal="center"/>
    </xf>
    <xf numFmtId="169" fontId="8" fillId="0" borderId="1" xfId="0" applyNumberFormat="1" applyFont="1" applyBorder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center" wrapText="1"/>
    </xf>
    <xf numFmtId="169" fontId="8" fillId="0" borderId="1" xfId="0" applyNumberFormat="1" applyFont="1" applyBorder="1"/>
    <xf numFmtId="10" fontId="0" fillId="0" borderId="0" xfId="0" applyNumberFormat="1"/>
    <xf numFmtId="0" fontId="9" fillId="0" borderId="0" xfId="0" applyFont="1" applyFill="1" applyBorder="1"/>
    <xf numFmtId="10" fontId="0" fillId="0" borderId="1" xfId="0" applyNumberFormat="1" applyBorder="1"/>
    <xf numFmtId="0" fontId="0" fillId="6" borderId="0" xfId="0" applyFont="1" applyFill="1"/>
    <xf numFmtId="0" fontId="1" fillId="7" borderId="1" xfId="0" applyFont="1" applyFill="1" applyBorder="1"/>
    <xf numFmtId="10" fontId="1" fillId="7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0" fillId="0" borderId="0" xfId="0" applyFont="1"/>
    <xf numFmtId="0" fontId="11" fillId="8" borderId="10" xfId="0" applyFont="1" applyFill="1" applyBorder="1"/>
    <xf numFmtId="169" fontId="12" fillId="8" borderId="10" xfId="0" applyNumberFormat="1" applyFont="1" applyFill="1" applyBorder="1"/>
    <xf numFmtId="168" fontId="12" fillId="8" borderId="10" xfId="0" applyNumberFormat="1" applyFont="1" applyFill="1" applyBorder="1"/>
    <xf numFmtId="0" fontId="13" fillId="0" borderId="0" xfId="0" applyFont="1"/>
    <xf numFmtId="0" fontId="14" fillId="9" borderId="10" xfId="0" applyFont="1" applyFill="1" applyBorder="1"/>
    <xf numFmtId="0" fontId="11" fillId="0" borderId="0" xfId="0" applyFont="1"/>
    <xf numFmtId="3" fontId="9" fillId="0" borderId="0" xfId="0" applyNumberFormat="1" applyFont="1"/>
    <xf numFmtId="169" fontId="15" fillId="0" borderId="0" xfId="0" applyNumberFormat="1" applyFont="1"/>
    <xf numFmtId="169" fontId="16" fillId="0" borderId="0" xfId="0" applyNumberFormat="1" applyFont="1"/>
    <xf numFmtId="169" fontId="17" fillId="0" borderId="0" xfId="0" applyNumberFormat="1" applyFont="1"/>
    <xf numFmtId="0" fontId="18" fillId="0" borderId="0" xfId="0" applyFont="1"/>
    <xf numFmtId="10" fontId="1" fillId="7" borderId="6" xfId="0" applyNumberFormat="1" applyFont="1" applyFill="1" applyBorder="1"/>
    <xf numFmtId="10" fontId="0" fillId="0" borderId="6" xfId="0" applyNumberFormat="1" applyBorder="1"/>
    <xf numFmtId="0" fontId="1" fillId="7" borderId="5" xfId="0" applyFont="1" applyFill="1" applyBorder="1"/>
  </cellXfs>
  <cellStyles count="1">
    <cellStyle name="Normal" xfId="0" builtinId="0"/>
  </cellStyles>
  <dxfs count="12"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003366"/>
          <bgColor theme="3" tint="-0.249977111117893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MAPE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Category'!$B$3</c:f>
              <c:strCache>
                <c:ptCount val="1"/>
                <c:pt idx="0">
                  <c:v>MAPE_Statistical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Category'!$A$4:$A$7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'Region Category'!$B$4:$B$7</c:f>
              <c:numCache>
                <c:formatCode>0.0%</c:formatCode>
                <c:ptCount val="4"/>
                <c:pt idx="0">
                  <c:v>0.11484512025477175</c:v>
                </c:pt>
                <c:pt idx="1">
                  <c:v>0.10991460535313001</c:v>
                </c:pt>
                <c:pt idx="2">
                  <c:v>0.11413236357516753</c:v>
                </c:pt>
                <c:pt idx="3">
                  <c:v>0.13018560736250367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C-4F3F-A3D7-7F5B5EEC94F3}"/>
            </c:ext>
          </c:extLst>
        </c:ser>
        <c:ser>
          <c:idx val="1"/>
          <c:order val="1"/>
          <c:tx>
            <c:strRef>
              <c:f>'Region Category'!$C$3</c:f>
              <c:strCache>
                <c:ptCount val="1"/>
                <c:pt idx="0">
                  <c:v>MAPE_Consensus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Category'!$A$4:$A$7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'Region Category'!$C$4:$C$7</c:f>
              <c:numCache>
                <c:formatCode>0.0%</c:formatCode>
                <c:ptCount val="4"/>
                <c:pt idx="0">
                  <c:v>4.4228044821467624E-2</c:v>
                </c:pt>
                <c:pt idx="1">
                  <c:v>4.4218366091088229E-2</c:v>
                </c:pt>
                <c:pt idx="2">
                  <c:v>4.4646174444341581E-2</c:v>
                </c:pt>
                <c:pt idx="3">
                  <c:v>4.0726182430154724E-2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C-4F3F-A3D7-7F5B5EEC94F3}"/>
            </c:ext>
          </c:extLst>
        </c:ser>
        <c:ser>
          <c:idx val="2"/>
          <c:order val="2"/>
          <c:tx>
            <c:strRef>
              <c:f>'Region Category'!$D$3</c:f>
              <c:strCache>
                <c:ptCount val="1"/>
                <c:pt idx="0">
                  <c:v>MAPE_Improved_Stat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Category'!$A$4:$A$7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'Region Category'!$D$4:$D$7</c:f>
              <c:numCache>
                <c:formatCode>0.0%</c:formatCode>
                <c:ptCount val="4"/>
                <c:pt idx="0">
                  <c:v>5.5648125134377717E-2</c:v>
                </c:pt>
                <c:pt idx="1">
                  <c:v>4.8763850990555788E-2</c:v>
                </c:pt>
                <c:pt idx="2">
                  <c:v>5.8900977200342007E-2</c:v>
                </c:pt>
                <c:pt idx="3">
                  <c:v>5.2799064030616585E-2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C-4F3F-A3D7-7F5B5EEC9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175680"/>
        <c:axId val="578087648"/>
      </c:barChart>
      <c:catAx>
        <c:axId val="6651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87648"/>
        <c:crosses val="autoZero"/>
        <c:auto val="1"/>
        <c:lblAlgn val="ctr"/>
        <c:lblOffset val="100"/>
        <c:noMultiLvlLbl val="0"/>
      </c:catAx>
      <c:valAx>
        <c:axId val="5780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1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MAPE</a:t>
            </a:r>
            <a:r>
              <a:rPr lang="en-IN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Category'!$B$10</c:f>
              <c:strCache>
                <c:ptCount val="1"/>
                <c:pt idx="0">
                  <c:v>MAPE_Statistical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Category'!$A$11:$A$15</c:f>
              <c:strCache>
                <c:ptCount val="5"/>
                <c:pt idx="0">
                  <c:v>Infusion Pumps</c:v>
                </c:pt>
                <c:pt idx="1">
                  <c:v>MRI Coils</c:v>
                </c:pt>
                <c:pt idx="2">
                  <c:v>Orthopedic Screws</c:v>
                </c:pt>
                <c:pt idx="3">
                  <c:v>Stents (Cardiac)</c:v>
                </c:pt>
                <c:pt idx="4">
                  <c:v>Surgical Lasers</c:v>
                </c:pt>
              </c:strCache>
            </c:strRef>
          </c:cat>
          <c:val>
            <c:numRef>
              <c:f>'Region Category'!$B$11:$B$15</c:f>
              <c:numCache>
                <c:formatCode>0.0%</c:formatCode>
                <c:ptCount val="5"/>
                <c:pt idx="0">
                  <c:v>0.120235754084702</c:v>
                </c:pt>
                <c:pt idx="1">
                  <c:v>0.10153131201770067</c:v>
                </c:pt>
                <c:pt idx="2">
                  <c:v>0.12735022635767593</c:v>
                </c:pt>
                <c:pt idx="3">
                  <c:v>0.11898944515637566</c:v>
                </c:pt>
                <c:pt idx="4">
                  <c:v>0.11824038306551161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A-4C13-BDFB-FCCB046F2327}"/>
            </c:ext>
          </c:extLst>
        </c:ser>
        <c:ser>
          <c:idx val="1"/>
          <c:order val="1"/>
          <c:tx>
            <c:strRef>
              <c:f>'Region Category'!$C$10</c:f>
              <c:strCache>
                <c:ptCount val="1"/>
                <c:pt idx="0">
                  <c:v>MAPE_Consensus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Category'!$A$11:$A$15</c:f>
              <c:strCache>
                <c:ptCount val="5"/>
                <c:pt idx="0">
                  <c:v>Infusion Pumps</c:v>
                </c:pt>
                <c:pt idx="1">
                  <c:v>MRI Coils</c:v>
                </c:pt>
                <c:pt idx="2">
                  <c:v>Orthopedic Screws</c:v>
                </c:pt>
                <c:pt idx="3">
                  <c:v>Stents (Cardiac)</c:v>
                </c:pt>
                <c:pt idx="4">
                  <c:v>Surgical Lasers</c:v>
                </c:pt>
              </c:strCache>
            </c:strRef>
          </c:cat>
          <c:val>
            <c:numRef>
              <c:f>'Region Category'!$C$11:$C$15</c:f>
              <c:numCache>
                <c:formatCode>0.0%</c:formatCode>
                <c:ptCount val="5"/>
                <c:pt idx="0">
                  <c:v>4.4418359676975071E-2</c:v>
                </c:pt>
                <c:pt idx="1">
                  <c:v>4.2292989444218797E-2</c:v>
                </c:pt>
                <c:pt idx="2">
                  <c:v>4.6823789506320455E-2</c:v>
                </c:pt>
                <c:pt idx="3">
                  <c:v>4.0651864259214215E-2</c:v>
                </c:pt>
                <c:pt idx="4">
                  <c:v>4.3086456847086667E-2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A-4C13-BDFB-FCCB046F2327}"/>
            </c:ext>
          </c:extLst>
        </c:ser>
        <c:ser>
          <c:idx val="2"/>
          <c:order val="2"/>
          <c:tx>
            <c:strRef>
              <c:f>'Region Category'!$D$10</c:f>
              <c:strCache>
                <c:ptCount val="1"/>
                <c:pt idx="0">
                  <c:v>MAPE_Improved_Stat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Category'!$A$11:$A$15</c:f>
              <c:strCache>
                <c:ptCount val="5"/>
                <c:pt idx="0">
                  <c:v>Infusion Pumps</c:v>
                </c:pt>
                <c:pt idx="1">
                  <c:v>MRI Coils</c:v>
                </c:pt>
                <c:pt idx="2">
                  <c:v>Orthopedic Screws</c:v>
                </c:pt>
                <c:pt idx="3">
                  <c:v>Stents (Cardiac)</c:v>
                </c:pt>
                <c:pt idx="4">
                  <c:v>Surgical Lasers</c:v>
                </c:pt>
              </c:strCache>
            </c:strRef>
          </c:cat>
          <c:val>
            <c:numRef>
              <c:f>'Region Category'!$D$11:$D$15</c:f>
              <c:numCache>
                <c:formatCode>0.0%</c:formatCode>
                <c:ptCount val="5"/>
                <c:pt idx="0">
                  <c:v>5.3655428896543872E-2</c:v>
                </c:pt>
                <c:pt idx="1">
                  <c:v>5.5921615438312422E-2</c:v>
                </c:pt>
                <c:pt idx="2">
                  <c:v>5.3821755885725943E-2</c:v>
                </c:pt>
                <c:pt idx="3">
                  <c:v>5.6042256906987269E-2</c:v>
                </c:pt>
                <c:pt idx="4">
                  <c:v>5.0698964567295592E-2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A-4C13-BDFB-FCCB046F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849024"/>
        <c:axId val="1323850944"/>
      </c:barChart>
      <c:catAx>
        <c:axId val="13238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50944"/>
        <c:crosses val="autoZero"/>
        <c:auto val="1"/>
        <c:lblAlgn val="ctr"/>
        <c:lblOffset val="100"/>
        <c:noMultiLvlLbl val="0"/>
      </c:catAx>
      <c:valAx>
        <c:axId val="132385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SKU Volume Pareto (80/20)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SKU_Pareto!$C$3</c:f>
              <c:strCache>
                <c:ptCount val="1"/>
                <c:pt idx="0">
                  <c:v>Total_Actual_Sales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SKU_Pareto!$A$4:$A$13</c:f>
              <c:strCache>
                <c:ptCount val="10"/>
                <c:pt idx="0">
                  <c:v>SKU-IP-01</c:v>
                </c:pt>
                <c:pt idx="1">
                  <c:v>SKU-IP-02</c:v>
                </c:pt>
                <c:pt idx="2">
                  <c:v>SKU-MRI-01</c:v>
                </c:pt>
                <c:pt idx="3">
                  <c:v>SKU-MRI-02</c:v>
                </c:pt>
                <c:pt idx="4">
                  <c:v>SKU-OS-01</c:v>
                </c:pt>
                <c:pt idx="5">
                  <c:v>SKU-OS-02</c:v>
                </c:pt>
                <c:pt idx="6">
                  <c:v>SKU-SL-01</c:v>
                </c:pt>
                <c:pt idx="7">
                  <c:v>SKU-SL-02</c:v>
                </c:pt>
                <c:pt idx="8">
                  <c:v>SKU-ST-01</c:v>
                </c:pt>
                <c:pt idx="9">
                  <c:v>SKU-ST-02</c:v>
                </c:pt>
              </c:strCache>
            </c:strRef>
          </c:cat>
          <c:val>
            <c:numRef>
              <c:f>SKU_Pareto!$C$4:$C$13</c:f>
              <c:numCache>
                <c:formatCode>General</c:formatCode>
                <c:ptCount val="10"/>
                <c:pt idx="0">
                  <c:v>11860</c:v>
                </c:pt>
                <c:pt idx="1">
                  <c:v>12590</c:v>
                </c:pt>
                <c:pt idx="2">
                  <c:v>10863</c:v>
                </c:pt>
                <c:pt idx="3">
                  <c:v>10305</c:v>
                </c:pt>
                <c:pt idx="4">
                  <c:v>10825</c:v>
                </c:pt>
                <c:pt idx="5">
                  <c:v>10240</c:v>
                </c:pt>
                <c:pt idx="6">
                  <c:v>15322</c:v>
                </c:pt>
                <c:pt idx="7">
                  <c:v>9572</c:v>
                </c:pt>
                <c:pt idx="8">
                  <c:v>12475</c:v>
                </c:pt>
                <c:pt idx="9">
                  <c:v>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6-4361-80CE-464B81769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113536"/>
        <c:axId val="659114496"/>
      </c:barChart>
      <c:lineChart>
        <c:grouping val="standard"/>
        <c:varyColors val="0"/>
        <c:ser>
          <c:idx val="1"/>
          <c:order val="1"/>
          <c:tx>
            <c:strRef>
              <c:f>SKU_Pareto!$E$3</c:f>
              <c:strCache>
                <c:ptCount val="1"/>
                <c:pt idx="0">
                  <c:v>Cumulative_%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SKU_Pareto!$A$4:$A$13</c:f>
              <c:strCache>
                <c:ptCount val="10"/>
                <c:pt idx="0">
                  <c:v>SKU-IP-01</c:v>
                </c:pt>
                <c:pt idx="1">
                  <c:v>SKU-IP-02</c:v>
                </c:pt>
                <c:pt idx="2">
                  <c:v>SKU-MRI-01</c:v>
                </c:pt>
                <c:pt idx="3">
                  <c:v>SKU-MRI-02</c:v>
                </c:pt>
                <c:pt idx="4">
                  <c:v>SKU-OS-01</c:v>
                </c:pt>
                <c:pt idx="5">
                  <c:v>SKU-OS-02</c:v>
                </c:pt>
                <c:pt idx="6">
                  <c:v>SKU-SL-01</c:v>
                </c:pt>
                <c:pt idx="7">
                  <c:v>SKU-SL-02</c:v>
                </c:pt>
                <c:pt idx="8">
                  <c:v>SKU-ST-01</c:v>
                </c:pt>
                <c:pt idx="9">
                  <c:v>SKU-ST-02</c:v>
                </c:pt>
              </c:strCache>
            </c:strRef>
          </c:cat>
          <c:val>
            <c:numRef>
              <c:f>SKU_Pareto!$E$4:$E$13</c:f>
              <c:numCache>
                <c:formatCode>0.0%</c:formatCode>
                <c:ptCount val="10"/>
                <c:pt idx="0">
                  <c:v>0.10586733555303632</c:v>
                </c:pt>
                <c:pt idx="1">
                  <c:v>0.21825095735849392</c:v>
                </c:pt>
                <c:pt idx="2">
                  <c:v>0.31521865264623705</c:v>
                </c:pt>
                <c:pt idx="3">
                  <c:v>0.40720540583966364</c:v>
                </c:pt>
                <c:pt idx="4">
                  <c:v>0.50383389718549987</c:v>
                </c:pt>
                <c:pt idx="5">
                  <c:v>0.59524043310987529</c:v>
                </c:pt>
                <c:pt idx="6">
                  <c:v>0.73201103305453152</c:v>
                </c:pt>
                <c:pt idx="7">
                  <c:v>0.81745472073696523</c:v>
                </c:pt>
                <c:pt idx="8">
                  <c:v>0.92881180429717836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6-4361-80CE-464B81769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90720"/>
        <c:axId val="334090240"/>
      </c:lineChart>
      <c:catAx>
        <c:axId val="65911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114496"/>
        <c:crosses val="autoZero"/>
        <c:auto val="1"/>
        <c:lblAlgn val="ctr"/>
        <c:lblOffset val="100"/>
        <c:noMultiLvlLbl val="0"/>
      </c:catAx>
      <c:valAx>
        <c:axId val="6591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113536"/>
        <c:crosses val="autoZero"/>
        <c:crossBetween val="between"/>
      </c:valAx>
      <c:valAx>
        <c:axId val="33409024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90720"/>
        <c:crosses val="max"/>
        <c:crossBetween val="between"/>
      </c:valAx>
      <c:catAx>
        <c:axId val="334090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4090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Statistical MAPE Promo v/s NoPromo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Impact'!$B$14</c:f>
              <c:strCache>
                <c:ptCount val="1"/>
                <c:pt idx="0">
                  <c:v>Stat_MAPE_NoPromo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Impact'!$B$15:$B$38</c:f>
              <c:numCache>
                <c:formatCode>0.0%</c:formatCode>
                <c:ptCount val="24"/>
                <c:pt idx="0">
                  <c:v>0.10349083587904456</c:v>
                </c:pt>
                <c:pt idx="1">
                  <c:v>0.10904074069182991</c:v>
                </c:pt>
                <c:pt idx="2">
                  <c:v>0.13711600870296972</c:v>
                </c:pt>
                <c:pt idx="3">
                  <c:v>0.11902400347888858</c:v>
                </c:pt>
                <c:pt idx="4">
                  <c:v>0.12707169007490329</c:v>
                </c:pt>
                <c:pt idx="5">
                  <c:v>9.9978697131702196E-2</c:v>
                </c:pt>
                <c:pt idx="6">
                  <c:v>0.12399474507652207</c:v>
                </c:pt>
                <c:pt idx="7">
                  <c:v>8.7285809273215345E-2</c:v>
                </c:pt>
                <c:pt idx="8">
                  <c:v>0.11046948512815748</c:v>
                </c:pt>
                <c:pt idx="9">
                  <c:v>0.1085926626019548</c:v>
                </c:pt>
                <c:pt idx="10">
                  <c:v>0.11434638312767867</c:v>
                </c:pt>
                <c:pt idx="11">
                  <c:v>0.12639577811802369</c:v>
                </c:pt>
                <c:pt idx="12">
                  <c:v>0.12051100386032951</c:v>
                </c:pt>
                <c:pt idx="13">
                  <c:v>0.12278635369372336</c:v>
                </c:pt>
                <c:pt idx="14">
                  <c:v>9.1166959394808372E-2</c:v>
                </c:pt>
                <c:pt idx="15">
                  <c:v>0.12805767896073253</c:v>
                </c:pt>
                <c:pt idx="16">
                  <c:v>0.1252244602869122</c:v>
                </c:pt>
                <c:pt idx="17">
                  <c:v>0.1154276911618535</c:v>
                </c:pt>
                <c:pt idx="18">
                  <c:v>0.11592603935256608</c:v>
                </c:pt>
                <c:pt idx="19">
                  <c:v>0.11059159431090812</c:v>
                </c:pt>
                <c:pt idx="20">
                  <c:v>0.10517871972794605</c:v>
                </c:pt>
                <c:pt idx="21">
                  <c:v>0.12095271982339169</c:v>
                </c:pt>
                <c:pt idx="22">
                  <c:v>0.1097375588083966</c:v>
                </c:pt>
                <c:pt idx="23">
                  <c:v>0.1166286558719465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A-4EFF-9578-82751D905DE2}"/>
            </c:ext>
          </c:extLst>
        </c:ser>
        <c:ser>
          <c:idx val="1"/>
          <c:order val="1"/>
          <c:tx>
            <c:strRef>
              <c:f>'Promo_Stockout_ Impact'!$C$14</c:f>
              <c:strCache>
                <c:ptCount val="1"/>
                <c:pt idx="0">
                  <c:v>Stat_MAPE_Promo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Impact'!$C$15:$C$38</c:f>
              <c:numCache>
                <c:formatCode>0.0%</c:formatCode>
                <c:ptCount val="24"/>
                <c:pt idx="0">
                  <c:v>0.12035309468783452</c:v>
                </c:pt>
                <c:pt idx="1">
                  <c:v>0.12054137824843632</c:v>
                </c:pt>
                <c:pt idx="2">
                  <c:v>0.13439766711213208</c:v>
                </c:pt>
                <c:pt idx="3">
                  <c:v>0.13119953066007797</c:v>
                </c:pt>
                <c:pt idx="4">
                  <c:v>0.10816282009117126</c:v>
                </c:pt>
                <c:pt idx="5">
                  <c:v>0.12223547421145696</c:v>
                </c:pt>
                <c:pt idx="6">
                  <c:v>0.11566220612604444</c:v>
                </c:pt>
                <c:pt idx="7">
                  <c:v>0.14574907107972768</c:v>
                </c:pt>
                <c:pt idx="8">
                  <c:v>0.13930369166009918</c:v>
                </c:pt>
                <c:pt idx="9">
                  <c:v>0.16687629245124233</c:v>
                </c:pt>
                <c:pt idx="10">
                  <c:v>0.14279298186607506</c:v>
                </c:pt>
                <c:pt idx="11">
                  <c:v>0.13082887611690697</c:v>
                </c:pt>
                <c:pt idx="12">
                  <c:v>0.12247901134454306</c:v>
                </c:pt>
                <c:pt idx="13">
                  <c:v>0.11463203455515758</c:v>
                </c:pt>
                <c:pt idx="14">
                  <c:v>0.10539886846122715</c:v>
                </c:pt>
                <c:pt idx="15">
                  <c:v>0.14292470413880495</c:v>
                </c:pt>
                <c:pt idx="16">
                  <c:v>0.14907919919956589</c:v>
                </c:pt>
                <c:pt idx="17">
                  <c:v>7.8798956822153141E-2</c:v>
                </c:pt>
                <c:pt idx="18">
                  <c:v>9.8763157318992822E-2</c:v>
                </c:pt>
                <c:pt idx="19">
                  <c:v>0.1211417148995908</c:v>
                </c:pt>
                <c:pt idx="20">
                  <c:v>0.13025286988020951</c:v>
                </c:pt>
                <c:pt idx="21">
                  <c:v>0.10865428668491765</c:v>
                </c:pt>
                <c:pt idx="22">
                  <c:v>0.17213570097087841</c:v>
                </c:pt>
                <c:pt idx="23">
                  <c:v>0.12555489561620845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A-4EFF-9578-82751D905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50174736"/>
        <c:axId val="1250176176"/>
      </c:lineChart>
      <c:catAx>
        <c:axId val="12501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76176"/>
        <c:crosses val="autoZero"/>
        <c:auto val="1"/>
        <c:lblAlgn val="ctr"/>
        <c:lblOffset val="100"/>
        <c:noMultiLvlLbl val="0"/>
      </c:catAx>
      <c:valAx>
        <c:axId val="125017617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747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Consensus MAPE Promo v/s NoPromo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Impact'!$D$14</c:f>
              <c:strCache>
                <c:ptCount val="1"/>
                <c:pt idx="0">
                  <c:v>Cons_MAPE_NoPromo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Impact'!$D$15:$D$38</c:f>
              <c:numCache>
                <c:formatCode>0.0%</c:formatCode>
                <c:ptCount val="24"/>
                <c:pt idx="0">
                  <c:v>3.6416410065858031E-2</c:v>
                </c:pt>
                <c:pt idx="1">
                  <c:v>5.431440784222135E-2</c:v>
                </c:pt>
                <c:pt idx="2">
                  <c:v>4.7847793606413065E-2</c:v>
                </c:pt>
                <c:pt idx="3">
                  <c:v>3.6215312231669863E-2</c:v>
                </c:pt>
                <c:pt idx="4">
                  <c:v>4.2426341736166655E-2</c:v>
                </c:pt>
                <c:pt idx="5">
                  <c:v>4.8873351251672803E-2</c:v>
                </c:pt>
                <c:pt idx="6">
                  <c:v>4.1364262589581521E-2</c:v>
                </c:pt>
                <c:pt idx="7">
                  <c:v>3.6298636489773106E-2</c:v>
                </c:pt>
                <c:pt idx="8">
                  <c:v>4.1642883773073631E-2</c:v>
                </c:pt>
                <c:pt idx="9">
                  <c:v>4.366728559521884E-2</c:v>
                </c:pt>
                <c:pt idx="10">
                  <c:v>4.8447134233551382E-2</c:v>
                </c:pt>
                <c:pt idx="11">
                  <c:v>4.4139126648558673E-2</c:v>
                </c:pt>
                <c:pt idx="12">
                  <c:v>4.9166199200814241E-2</c:v>
                </c:pt>
                <c:pt idx="13">
                  <c:v>4.0976930029512561E-2</c:v>
                </c:pt>
                <c:pt idx="14">
                  <c:v>4.1071791604447003E-2</c:v>
                </c:pt>
                <c:pt idx="15">
                  <c:v>4.3449122041145781E-2</c:v>
                </c:pt>
                <c:pt idx="16">
                  <c:v>5.0856323419262613E-2</c:v>
                </c:pt>
                <c:pt idx="17">
                  <c:v>3.8837084165553419E-2</c:v>
                </c:pt>
                <c:pt idx="18">
                  <c:v>3.5411691466648715E-2</c:v>
                </c:pt>
                <c:pt idx="19">
                  <c:v>4.1943997215436485E-2</c:v>
                </c:pt>
                <c:pt idx="20">
                  <c:v>3.8163187709836698E-2</c:v>
                </c:pt>
                <c:pt idx="21">
                  <c:v>3.9442905380248153E-2</c:v>
                </c:pt>
                <c:pt idx="22">
                  <c:v>4.8792745949919454E-2</c:v>
                </c:pt>
                <c:pt idx="23">
                  <c:v>4.5864022174621745E-2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A-4284-BC49-31BC7C43B8D2}"/>
            </c:ext>
          </c:extLst>
        </c:ser>
        <c:ser>
          <c:idx val="1"/>
          <c:order val="1"/>
          <c:tx>
            <c:strRef>
              <c:f>'Promo_Stockout_ Impact'!$E$14</c:f>
              <c:strCache>
                <c:ptCount val="1"/>
                <c:pt idx="0">
                  <c:v>Cons_MAPE_Promo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Impact'!$E$15:$E$38</c:f>
              <c:numCache>
                <c:formatCode>0.0%</c:formatCode>
                <c:ptCount val="24"/>
                <c:pt idx="0">
                  <c:v>2.9890925808088165E-2</c:v>
                </c:pt>
                <c:pt idx="1">
                  <c:v>3.3172390255702892E-2</c:v>
                </c:pt>
                <c:pt idx="2">
                  <c:v>4.2701069984588121E-2</c:v>
                </c:pt>
                <c:pt idx="3">
                  <c:v>5.0506648058554246E-2</c:v>
                </c:pt>
                <c:pt idx="4">
                  <c:v>4.8994921636811059E-2</c:v>
                </c:pt>
                <c:pt idx="5">
                  <c:v>3.4694925213188746E-2</c:v>
                </c:pt>
                <c:pt idx="6">
                  <c:v>4.5851838723329569E-2</c:v>
                </c:pt>
                <c:pt idx="7">
                  <c:v>5.57131872123953E-2</c:v>
                </c:pt>
                <c:pt idx="8">
                  <c:v>3.6970533173471272E-2</c:v>
                </c:pt>
                <c:pt idx="9">
                  <c:v>4.7951918326323027E-2</c:v>
                </c:pt>
                <c:pt idx="10">
                  <c:v>4.8258677269003444E-2</c:v>
                </c:pt>
                <c:pt idx="11">
                  <c:v>3.3817008878089985E-2</c:v>
                </c:pt>
                <c:pt idx="12">
                  <c:v>4.7888703261895336E-2</c:v>
                </c:pt>
                <c:pt idx="13">
                  <c:v>4.6246074705490185E-2</c:v>
                </c:pt>
                <c:pt idx="14">
                  <c:v>3.5364348861437578E-2</c:v>
                </c:pt>
                <c:pt idx="15">
                  <c:v>6.9785239276015668E-2</c:v>
                </c:pt>
                <c:pt idx="16">
                  <c:v>3.9342425520636173E-2</c:v>
                </c:pt>
                <c:pt idx="17">
                  <c:v>4.8192427033250843E-2</c:v>
                </c:pt>
                <c:pt idx="18">
                  <c:v>4.046764746527181E-2</c:v>
                </c:pt>
                <c:pt idx="19">
                  <c:v>6.1882333874985568E-2</c:v>
                </c:pt>
                <c:pt idx="20">
                  <c:v>3.7623110846840745E-2</c:v>
                </c:pt>
                <c:pt idx="21">
                  <c:v>4.8489647024332963E-2</c:v>
                </c:pt>
                <c:pt idx="22">
                  <c:v>5.1589222853806183E-2</c:v>
                </c:pt>
                <c:pt idx="23">
                  <c:v>6.0576805683847157E-2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A-4284-BC49-31BC7C43B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39268272"/>
        <c:axId val="1239265392"/>
      </c:lineChart>
      <c:catAx>
        <c:axId val="123926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5392"/>
        <c:crosses val="autoZero"/>
        <c:auto val="1"/>
        <c:lblAlgn val="ctr"/>
        <c:lblOffset val="100"/>
        <c:noMultiLvlLbl val="0"/>
      </c:catAx>
      <c:valAx>
        <c:axId val="123926539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82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Statistical WAPE Promo v/s NoPromo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Impact'!$F$14</c:f>
              <c:strCache>
                <c:ptCount val="1"/>
                <c:pt idx="0">
                  <c:v>Stat_WAPE_NoPromo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Impact'!$F$15:$F$38</c:f>
              <c:numCache>
                <c:formatCode>0.0%</c:formatCode>
                <c:ptCount val="24"/>
                <c:pt idx="0">
                  <c:v>0.10142671854734112</c:v>
                </c:pt>
                <c:pt idx="1">
                  <c:v>0.10899103787221741</c:v>
                </c:pt>
                <c:pt idx="2">
                  <c:v>0.13290653008962869</c:v>
                </c:pt>
                <c:pt idx="3">
                  <c:v>0.13456540571758591</c:v>
                </c:pt>
                <c:pt idx="4">
                  <c:v>0.12411681582666038</c:v>
                </c:pt>
                <c:pt idx="5">
                  <c:v>0.10897435897435898</c:v>
                </c:pt>
                <c:pt idx="6">
                  <c:v>0.11731511731511732</c:v>
                </c:pt>
                <c:pt idx="7">
                  <c:v>9.1531755915317564E-2</c:v>
                </c:pt>
                <c:pt idx="8">
                  <c:v>0.12107925801011804</c:v>
                </c:pt>
                <c:pt idx="9">
                  <c:v>0.1162127929069031</c:v>
                </c:pt>
                <c:pt idx="10">
                  <c:v>0.1108761329305136</c:v>
                </c:pt>
                <c:pt idx="11">
                  <c:v>0.1211453744493392</c:v>
                </c:pt>
                <c:pt idx="12">
                  <c:v>0.12120438887471294</c:v>
                </c:pt>
                <c:pt idx="13">
                  <c:v>0.13432835820895522</c:v>
                </c:pt>
                <c:pt idx="14">
                  <c:v>0.10251798561151079</c:v>
                </c:pt>
                <c:pt idx="15">
                  <c:v>0.13881429456723818</c:v>
                </c:pt>
                <c:pt idx="16">
                  <c:v>0.12554489973844812</c:v>
                </c:pt>
                <c:pt idx="17">
                  <c:v>0.12325321408608161</c:v>
                </c:pt>
                <c:pt idx="18">
                  <c:v>0.12447129909365559</c:v>
                </c:pt>
                <c:pt idx="19">
                  <c:v>0.11611374407582939</c:v>
                </c:pt>
                <c:pt idx="20">
                  <c:v>0.11865148861646235</c:v>
                </c:pt>
                <c:pt idx="21">
                  <c:v>0.12920353982300886</c:v>
                </c:pt>
                <c:pt idx="22">
                  <c:v>0.10986310986310986</c:v>
                </c:pt>
                <c:pt idx="23">
                  <c:v>0.11640360766629086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8-412B-9A35-CF57B278A16B}"/>
            </c:ext>
          </c:extLst>
        </c:ser>
        <c:ser>
          <c:idx val="1"/>
          <c:order val="1"/>
          <c:tx>
            <c:strRef>
              <c:f>'Promo_Stockout_ Impact'!$G$14</c:f>
              <c:strCache>
                <c:ptCount val="1"/>
                <c:pt idx="0">
                  <c:v>Stat_WAPE_Promo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Impact'!$G$15:$G$38</c:f>
              <c:numCache>
                <c:formatCode>0.0%</c:formatCode>
                <c:ptCount val="24"/>
                <c:pt idx="0">
                  <c:v>0.10735930735930736</c:v>
                </c:pt>
                <c:pt idx="1">
                  <c:v>0.12250580046403713</c:v>
                </c:pt>
                <c:pt idx="2">
                  <c:v>0.13048566413107079</c:v>
                </c:pt>
                <c:pt idx="3">
                  <c:v>0.13735996103263517</c:v>
                </c:pt>
                <c:pt idx="4">
                  <c:v>0.10743801652892562</c:v>
                </c:pt>
                <c:pt idx="5">
                  <c:v>0.12880324543610547</c:v>
                </c:pt>
                <c:pt idx="6">
                  <c:v>0.14082840236686389</c:v>
                </c:pt>
                <c:pt idx="7">
                  <c:v>0.1302170283806344</c:v>
                </c:pt>
                <c:pt idx="8">
                  <c:v>0.13264248704663212</c:v>
                </c:pt>
                <c:pt idx="9">
                  <c:v>0.15639810426540285</c:v>
                </c:pt>
                <c:pt idx="10">
                  <c:v>0.12868217054263567</c:v>
                </c:pt>
                <c:pt idx="11">
                  <c:v>0.12794268167860798</c:v>
                </c:pt>
                <c:pt idx="12">
                  <c:v>0.12593144560357675</c:v>
                </c:pt>
                <c:pt idx="13">
                  <c:v>0.11656746031746032</c:v>
                </c:pt>
                <c:pt idx="14">
                  <c:v>0.10473457675753228</c:v>
                </c:pt>
                <c:pt idx="15">
                  <c:v>0.14543114543114544</c:v>
                </c:pt>
                <c:pt idx="16">
                  <c:v>0.13410900183710961</c:v>
                </c:pt>
                <c:pt idx="17">
                  <c:v>7.789855072463768E-2</c:v>
                </c:pt>
                <c:pt idx="18">
                  <c:v>9.7256857855361589E-2</c:v>
                </c:pt>
                <c:pt idx="19">
                  <c:v>0.12299465240641712</c:v>
                </c:pt>
                <c:pt idx="20">
                  <c:v>0.12792297111416781</c:v>
                </c:pt>
                <c:pt idx="21">
                  <c:v>0.11608961303462322</c:v>
                </c:pt>
                <c:pt idx="22">
                  <c:v>0.16846153846153847</c:v>
                </c:pt>
                <c:pt idx="23">
                  <c:v>0.11686586985391766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8-412B-9A35-CF57B278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37910608"/>
        <c:axId val="1237911088"/>
      </c:lineChart>
      <c:catAx>
        <c:axId val="123791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11088"/>
        <c:crosses val="autoZero"/>
        <c:auto val="1"/>
        <c:lblAlgn val="ctr"/>
        <c:lblOffset val="100"/>
        <c:noMultiLvlLbl val="0"/>
      </c:catAx>
      <c:valAx>
        <c:axId val="123791108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106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Consensus WAPE Promo v/s NoPromo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7851670741646294"/>
          <c:y val="2.0997375328083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Impact'!$H$14</c:f>
              <c:strCache>
                <c:ptCount val="1"/>
                <c:pt idx="0">
                  <c:v>Cons_WAPE_NoPromo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Impact'!$H$15:$H$38</c:f>
              <c:numCache>
                <c:formatCode>0.0%</c:formatCode>
                <c:ptCount val="24"/>
                <c:pt idx="0">
                  <c:v>3.1387808041504539E-2</c:v>
                </c:pt>
                <c:pt idx="1">
                  <c:v>5.1749060422087309E-2</c:v>
                </c:pt>
                <c:pt idx="2">
                  <c:v>4.3021766965428934E-2</c:v>
                </c:pt>
                <c:pt idx="3">
                  <c:v>3.3785734911926074E-2</c:v>
                </c:pt>
                <c:pt idx="4">
                  <c:v>4.215732454074423E-2</c:v>
                </c:pt>
                <c:pt idx="5">
                  <c:v>5.2350427350427352E-2</c:v>
                </c:pt>
                <c:pt idx="6">
                  <c:v>4.0986040986040986E-2</c:v>
                </c:pt>
                <c:pt idx="7">
                  <c:v>3.4869240348692404E-2</c:v>
                </c:pt>
                <c:pt idx="8">
                  <c:v>4.2158516020236091E-2</c:v>
                </c:pt>
                <c:pt idx="9">
                  <c:v>4.4648511716276124E-2</c:v>
                </c:pt>
                <c:pt idx="10">
                  <c:v>5.1661631419939576E-2</c:v>
                </c:pt>
                <c:pt idx="11">
                  <c:v>4.6530837004405287E-2</c:v>
                </c:pt>
                <c:pt idx="12">
                  <c:v>4.8992089818831332E-2</c:v>
                </c:pt>
                <c:pt idx="13">
                  <c:v>4.04707233065442E-2</c:v>
                </c:pt>
                <c:pt idx="14">
                  <c:v>4.2715827338129495E-2</c:v>
                </c:pt>
                <c:pt idx="15">
                  <c:v>4.7097707085312954E-2</c:v>
                </c:pt>
                <c:pt idx="16">
                  <c:v>5.3182214472537057E-2</c:v>
                </c:pt>
                <c:pt idx="17">
                  <c:v>3.6612632755729457E-2</c:v>
                </c:pt>
                <c:pt idx="18">
                  <c:v>3.5649546827794559E-2</c:v>
                </c:pt>
                <c:pt idx="19">
                  <c:v>3.9988151658767769E-2</c:v>
                </c:pt>
                <c:pt idx="20">
                  <c:v>3.6339754816112083E-2</c:v>
                </c:pt>
                <c:pt idx="21">
                  <c:v>3.6814159292035395E-2</c:v>
                </c:pt>
                <c:pt idx="22">
                  <c:v>5.0544050544050541E-2</c:v>
                </c:pt>
                <c:pt idx="23">
                  <c:v>4.4532130777903044E-2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B-4C1F-B35E-6A77DFC21129}"/>
            </c:ext>
          </c:extLst>
        </c:ser>
        <c:ser>
          <c:idx val="1"/>
          <c:order val="1"/>
          <c:tx>
            <c:strRef>
              <c:f>'Promo_Stockout_ Impact'!$I$14</c:f>
              <c:strCache>
                <c:ptCount val="1"/>
                <c:pt idx="0">
                  <c:v>Cons_WAPE_Promo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Impact'!$I$15:$I$38</c:f>
              <c:numCache>
                <c:formatCode>0.0%</c:formatCode>
                <c:ptCount val="24"/>
                <c:pt idx="0">
                  <c:v>2.5974025974025976E-2</c:v>
                </c:pt>
                <c:pt idx="1">
                  <c:v>3.6194895591647333E-2</c:v>
                </c:pt>
                <c:pt idx="2">
                  <c:v>4.0374488004681103E-2</c:v>
                </c:pt>
                <c:pt idx="3">
                  <c:v>5.1631758402338045E-2</c:v>
                </c:pt>
                <c:pt idx="4">
                  <c:v>5.06198347107438E-2</c:v>
                </c:pt>
                <c:pt idx="5">
                  <c:v>4.8681541582150101E-2</c:v>
                </c:pt>
                <c:pt idx="6">
                  <c:v>4.7337278106508875E-2</c:v>
                </c:pt>
                <c:pt idx="7">
                  <c:v>6.0100166944908183E-2</c:v>
                </c:pt>
                <c:pt idx="8">
                  <c:v>3.8341968911917101E-2</c:v>
                </c:pt>
                <c:pt idx="9">
                  <c:v>5.3712480252764615E-2</c:v>
                </c:pt>
                <c:pt idx="10">
                  <c:v>5.1162790697674418E-2</c:v>
                </c:pt>
                <c:pt idx="11">
                  <c:v>3.3776867963152504E-2</c:v>
                </c:pt>
                <c:pt idx="12">
                  <c:v>4.8435171385991058E-2</c:v>
                </c:pt>
                <c:pt idx="13">
                  <c:v>4.41468253968254E-2</c:v>
                </c:pt>
                <c:pt idx="14">
                  <c:v>3.3715925394548062E-2</c:v>
                </c:pt>
                <c:pt idx="15">
                  <c:v>7.9794079794079792E-2</c:v>
                </c:pt>
                <c:pt idx="16">
                  <c:v>4.470300061236987E-2</c:v>
                </c:pt>
                <c:pt idx="17">
                  <c:v>4.8007246376811592E-2</c:v>
                </c:pt>
                <c:pt idx="18">
                  <c:v>4.2394014962593519E-2</c:v>
                </c:pt>
                <c:pt idx="19">
                  <c:v>5.7040998217468802E-2</c:v>
                </c:pt>
                <c:pt idx="20">
                  <c:v>4.1265474552957357E-2</c:v>
                </c:pt>
                <c:pt idx="21">
                  <c:v>5.0916496945010187E-2</c:v>
                </c:pt>
                <c:pt idx="22">
                  <c:v>5.153846153846154E-2</c:v>
                </c:pt>
                <c:pt idx="23">
                  <c:v>6.2416998671978752E-2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7B-4C1F-B35E-6A77DFC21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7404080"/>
        <c:axId val="97412240"/>
      </c:lineChart>
      <c:catAx>
        <c:axId val="9740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2240"/>
        <c:crosses val="autoZero"/>
        <c:auto val="1"/>
        <c:lblAlgn val="ctr"/>
        <c:lblOffset val="100"/>
        <c:noMultiLvlLbl val="0"/>
      </c:catAx>
      <c:valAx>
        <c:axId val="974122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40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Statistical MAPE Promo v/s NoPromo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Impact'!$B$14</c:f>
              <c:strCache>
                <c:ptCount val="1"/>
                <c:pt idx="0">
                  <c:v>Stat_MAPE_NoPromo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Impact'!$B$15:$B$38</c:f>
              <c:numCache>
                <c:formatCode>0.0%</c:formatCode>
                <c:ptCount val="24"/>
                <c:pt idx="0">
                  <c:v>0.10349083587904456</c:v>
                </c:pt>
                <c:pt idx="1">
                  <c:v>0.10904074069182991</c:v>
                </c:pt>
                <c:pt idx="2">
                  <c:v>0.13711600870296972</c:v>
                </c:pt>
                <c:pt idx="3">
                  <c:v>0.11902400347888858</c:v>
                </c:pt>
                <c:pt idx="4">
                  <c:v>0.12707169007490329</c:v>
                </c:pt>
                <c:pt idx="5">
                  <c:v>9.9978697131702196E-2</c:v>
                </c:pt>
                <c:pt idx="6">
                  <c:v>0.12399474507652207</c:v>
                </c:pt>
                <c:pt idx="7">
                  <c:v>8.7285809273215345E-2</c:v>
                </c:pt>
                <c:pt idx="8">
                  <c:v>0.11046948512815748</c:v>
                </c:pt>
                <c:pt idx="9">
                  <c:v>0.1085926626019548</c:v>
                </c:pt>
                <c:pt idx="10">
                  <c:v>0.11434638312767867</c:v>
                </c:pt>
                <c:pt idx="11">
                  <c:v>0.12639577811802369</c:v>
                </c:pt>
                <c:pt idx="12">
                  <c:v>0.12051100386032951</c:v>
                </c:pt>
                <c:pt idx="13">
                  <c:v>0.12278635369372336</c:v>
                </c:pt>
                <c:pt idx="14">
                  <c:v>9.1166959394808372E-2</c:v>
                </c:pt>
                <c:pt idx="15">
                  <c:v>0.12805767896073253</c:v>
                </c:pt>
                <c:pt idx="16">
                  <c:v>0.1252244602869122</c:v>
                </c:pt>
                <c:pt idx="17">
                  <c:v>0.1154276911618535</c:v>
                </c:pt>
                <c:pt idx="18">
                  <c:v>0.11592603935256608</c:v>
                </c:pt>
                <c:pt idx="19">
                  <c:v>0.11059159431090812</c:v>
                </c:pt>
                <c:pt idx="20">
                  <c:v>0.10517871972794605</c:v>
                </c:pt>
                <c:pt idx="21">
                  <c:v>0.12095271982339169</c:v>
                </c:pt>
                <c:pt idx="22">
                  <c:v>0.1097375588083966</c:v>
                </c:pt>
                <c:pt idx="23">
                  <c:v>0.1166286558719465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A-4621-A1B9-3E32B863CE0F}"/>
            </c:ext>
          </c:extLst>
        </c:ser>
        <c:ser>
          <c:idx val="1"/>
          <c:order val="1"/>
          <c:tx>
            <c:strRef>
              <c:f>'Promo_Stockout_ Impact'!$C$14</c:f>
              <c:strCache>
                <c:ptCount val="1"/>
                <c:pt idx="0">
                  <c:v>Stat_MAPE_Promo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Impact'!$C$15:$C$38</c:f>
              <c:numCache>
                <c:formatCode>0.0%</c:formatCode>
                <c:ptCount val="24"/>
                <c:pt idx="0">
                  <c:v>0.12035309468783452</c:v>
                </c:pt>
                <c:pt idx="1">
                  <c:v>0.12054137824843632</c:v>
                </c:pt>
                <c:pt idx="2">
                  <c:v>0.13439766711213208</c:v>
                </c:pt>
                <c:pt idx="3">
                  <c:v>0.13119953066007797</c:v>
                </c:pt>
                <c:pt idx="4">
                  <c:v>0.10816282009117126</c:v>
                </c:pt>
                <c:pt idx="5">
                  <c:v>0.12223547421145696</c:v>
                </c:pt>
                <c:pt idx="6">
                  <c:v>0.11566220612604444</c:v>
                </c:pt>
                <c:pt idx="7">
                  <c:v>0.14574907107972768</c:v>
                </c:pt>
                <c:pt idx="8">
                  <c:v>0.13930369166009918</c:v>
                </c:pt>
                <c:pt idx="9">
                  <c:v>0.16687629245124233</c:v>
                </c:pt>
                <c:pt idx="10">
                  <c:v>0.14279298186607506</c:v>
                </c:pt>
                <c:pt idx="11">
                  <c:v>0.13082887611690697</c:v>
                </c:pt>
                <c:pt idx="12">
                  <c:v>0.12247901134454306</c:v>
                </c:pt>
                <c:pt idx="13">
                  <c:v>0.11463203455515758</c:v>
                </c:pt>
                <c:pt idx="14">
                  <c:v>0.10539886846122715</c:v>
                </c:pt>
                <c:pt idx="15">
                  <c:v>0.14292470413880495</c:v>
                </c:pt>
                <c:pt idx="16">
                  <c:v>0.14907919919956589</c:v>
                </c:pt>
                <c:pt idx="17">
                  <c:v>7.8798956822153141E-2</c:v>
                </c:pt>
                <c:pt idx="18">
                  <c:v>9.8763157318992822E-2</c:v>
                </c:pt>
                <c:pt idx="19">
                  <c:v>0.1211417148995908</c:v>
                </c:pt>
                <c:pt idx="20">
                  <c:v>0.13025286988020951</c:v>
                </c:pt>
                <c:pt idx="21">
                  <c:v>0.10865428668491765</c:v>
                </c:pt>
                <c:pt idx="22">
                  <c:v>0.17213570097087841</c:v>
                </c:pt>
                <c:pt idx="23">
                  <c:v>0.12555489561620845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A-4621-A1B9-3E32B863C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50174736"/>
        <c:axId val="1250176176"/>
      </c:lineChart>
      <c:catAx>
        <c:axId val="12501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76176"/>
        <c:crosses val="autoZero"/>
        <c:auto val="1"/>
        <c:lblAlgn val="ctr"/>
        <c:lblOffset val="100"/>
        <c:noMultiLvlLbl val="0"/>
      </c:catAx>
      <c:valAx>
        <c:axId val="125017617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747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Consensus MAPE Promo v/s NoPromo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Impact'!$D$14</c:f>
              <c:strCache>
                <c:ptCount val="1"/>
                <c:pt idx="0">
                  <c:v>Cons_MAPE_NoPromo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Impact'!$D$15:$D$38</c:f>
              <c:numCache>
                <c:formatCode>0.0%</c:formatCode>
                <c:ptCount val="24"/>
                <c:pt idx="0">
                  <c:v>3.6416410065858031E-2</c:v>
                </c:pt>
                <c:pt idx="1">
                  <c:v>5.431440784222135E-2</c:v>
                </c:pt>
                <c:pt idx="2">
                  <c:v>4.7847793606413065E-2</c:v>
                </c:pt>
                <c:pt idx="3">
                  <c:v>3.6215312231669863E-2</c:v>
                </c:pt>
                <c:pt idx="4">
                  <c:v>4.2426341736166655E-2</c:v>
                </c:pt>
                <c:pt idx="5">
                  <c:v>4.8873351251672803E-2</c:v>
                </c:pt>
                <c:pt idx="6">
                  <c:v>4.1364262589581521E-2</c:v>
                </c:pt>
                <c:pt idx="7">
                  <c:v>3.6298636489773106E-2</c:v>
                </c:pt>
                <c:pt idx="8">
                  <c:v>4.1642883773073631E-2</c:v>
                </c:pt>
                <c:pt idx="9">
                  <c:v>4.366728559521884E-2</c:v>
                </c:pt>
                <c:pt idx="10">
                  <c:v>4.8447134233551382E-2</c:v>
                </c:pt>
                <c:pt idx="11">
                  <c:v>4.4139126648558673E-2</c:v>
                </c:pt>
                <c:pt idx="12">
                  <c:v>4.9166199200814241E-2</c:v>
                </c:pt>
                <c:pt idx="13">
                  <c:v>4.0976930029512561E-2</c:v>
                </c:pt>
                <c:pt idx="14">
                  <c:v>4.1071791604447003E-2</c:v>
                </c:pt>
                <c:pt idx="15">
                  <c:v>4.3449122041145781E-2</c:v>
                </c:pt>
                <c:pt idx="16">
                  <c:v>5.0856323419262613E-2</c:v>
                </c:pt>
                <c:pt idx="17">
                  <c:v>3.8837084165553419E-2</c:v>
                </c:pt>
                <c:pt idx="18">
                  <c:v>3.5411691466648715E-2</c:v>
                </c:pt>
                <c:pt idx="19">
                  <c:v>4.1943997215436485E-2</c:v>
                </c:pt>
                <c:pt idx="20">
                  <c:v>3.8163187709836698E-2</c:v>
                </c:pt>
                <c:pt idx="21">
                  <c:v>3.9442905380248153E-2</c:v>
                </c:pt>
                <c:pt idx="22">
                  <c:v>4.8792745949919454E-2</c:v>
                </c:pt>
                <c:pt idx="23">
                  <c:v>4.5864022174621745E-2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D-4AAF-A746-05D7F0EB2F3E}"/>
            </c:ext>
          </c:extLst>
        </c:ser>
        <c:ser>
          <c:idx val="1"/>
          <c:order val="1"/>
          <c:tx>
            <c:strRef>
              <c:f>'Promo_Stockout_ Impact'!$E$14</c:f>
              <c:strCache>
                <c:ptCount val="1"/>
                <c:pt idx="0">
                  <c:v>Cons_MAPE_Promo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Impact'!$E$15:$E$38</c:f>
              <c:numCache>
                <c:formatCode>0.0%</c:formatCode>
                <c:ptCount val="24"/>
                <c:pt idx="0">
                  <c:v>2.9890925808088165E-2</c:v>
                </c:pt>
                <c:pt idx="1">
                  <c:v>3.3172390255702892E-2</c:v>
                </c:pt>
                <c:pt idx="2">
                  <c:v>4.2701069984588121E-2</c:v>
                </c:pt>
                <c:pt idx="3">
                  <c:v>5.0506648058554246E-2</c:v>
                </c:pt>
                <c:pt idx="4">
                  <c:v>4.8994921636811059E-2</c:v>
                </c:pt>
                <c:pt idx="5">
                  <c:v>3.4694925213188746E-2</c:v>
                </c:pt>
                <c:pt idx="6">
                  <c:v>4.5851838723329569E-2</c:v>
                </c:pt>
                <c:pt idx="7">
                  <c:v>5.57131872123953E-2</c:v>
                </c:pt>
                <c:pt idx="8">
                  <c:v>3.6970533173471272E-2</c:v>
                </c:pt>
                <c:pt idx="9">
                  <c:v>4.7951918326323027E-2</c:v>
                </c:pt>
                <c:pt idx="10">
                  <c:v>4.8258677269003444E-2</c:v>
                </c:pt>
                <c:pt idx="11">
                  <c:v>3.3817008878089985E-2</c:v>
                </c:pt>
                <c:pt idx="12">
                  <c:v>4.7888703261895336E-2</c:v>
                </c:pt>
                <c:pt idx="13">
                  <c:v>4.6246074705490185E-2</c:v>
                </c:pt>
                <c:pt idx="14">
                  <c:v>3.5364348861437578E-2</c:v>
                </c:pt>
                <c:pt idx="15">
                  <c:v>6.9785239276015668E-2</c:v>
                </c:pt>
                <c:pt idx="16">
                  <c:v>3.9342425520636173E-2</c:v>
                </c:pt>
                <c:pt idx="17">
                  <c:v>4.8192427033250843E-2</c:v>
                </c:pt>
                <c:pt idx="18">
                  <c:v>4.046764746527181E-2</c:v>
                </c:pt>
                <c:pt idx="19">
                  <c:v>6.1882333874985568E-2</c:v>
                </c:pt>
                <c:pt idx="20">
                  <c:v>3.7623110846840745E-2</c:v>
                </c:pt>
                <c:pt idx="21">
                  <c:v>4.8489647024332963E-2</c:v>
                </c:pt>
                <c:pt idx="22">
                  <c:v>5.1589222853806183E-2</c:v>
                </c:pt>
                <c:pt idx="23">
                  <c:v>6.0576805683847157E-2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BD-4AAF-A746-05D7F0EB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39268272"/>
        <c:axId val="1239265392"/>
      </c:lineChart>
      <c:catAx>
        <c:axId val="123926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5392"/>
        <c:crosses val="autoZero"/>
        <c:auto val="1"/>
        <c:lblAlgn val="ctr"/>
        <c:lblOffset val="100"/>
        <c:noMultiLvlLbl val="0"/>
      </c:catAx>
      <c:valAx>
        <c:axId val="123926539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82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Statistical WAPE Promo v/s NoPromo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Impact'!$F$14</c:f>
              <c:strCache>
                <c:ptCount val="1"/>
                <c:pt idx="0">
                  <c:v>Stat_WAPE_NoPromo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Impact'!$F$15:$F$38</c:f>
              <c:numCache>
                <c:formatCode>0.0%</c:formatCode>
                <c:ptCount val="24"/>
                <c:pt idx="0">
                  <c:v>0.10142671854734112</c:v>
                </c:pt>
                <c:pt idx="1">
                  <c:v>0.10899103787221741</c:v>
                </c:pt>
                <c:pt idx="2">
                  <c:v>0.13290653008962869</c:v>
                </c:pt>
                <c:pt idx="3">
                  <c:v>0.13456540571758591</c:v>
                </c:pt>
                <c:pt idx="4">
                  <c:v>0.12411681582666038</c:v>
                </c:pt>
                <c:pt idx="5">
                  <c:v>0.10897435897435898</c:v>
                </c:pt>
                <c:pt idx="6">
                  <c:v>0.11731511731511732</c:v>
                </c:pt>
                <c:pt idx="7">
                  <c:v>9.1531755915317564E-2</c:v>
                </c:pt>
                <c:pt idx="8">
                  <c:v>0.12107925801011804</c:v>
                </c:pt>
                <c:pt idx="9">
                  <c:v>0.1162127929069031</c:v>
                </c:pt>
                <c:pt idx="10">
                  <c:v>0.1108761329305136</c:v>
                </c:pt>
                <c:pt idx="11">
                  <c:v>0.1211453744493392</c:v>
                </c:pt>
                <c:pt idx="12">
                  <c:v>0.12120438887471294</c:v>
                </c:pt>
                <c:pt idx="13">
                  <c:v>0.13432835820895522</c:v>
                </c:pt>
                <c:pt idx="14">
                  <c:v>0.10251798561151079</c:v>
                </c:pt>
                <c:pt idx="15">
                  <c:v>0.13881429456723818</c:v>
                </c:pt>
                <c:pt idx="16">
                  <c:v>0.12554489973844812</c:v>
                </c:pt>
                <c:pt idx="17">
                  <c:v>0.12325321408608161</c:v>
                </c:pt>
                <c:pt idx="18">
                  <c:v>0.12447129909365559</c:v>
                </c:pt>
                <c:pt idx="19">
                  <c:v>0.11611374407582939</c:v>
                </c:pt>
                <c:pt idx="20">
                  <c:v>0.11865148861646235</c:v>
                </c:pt>
                <c:pt idx="21">
                  <c:v>0.12920353982300886</c:v>
                </c:pt>
                <c:pt idx="22">
                  <c:v>0.10986310986310986</c:v>
                </c:pt>
                <c:pt idx="23">
                  <c:v>0.11640360766629086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0-4CAE-A9D0-56B885726364}"/>
            </c:ext>
          </c:extLst>
        </c:ser>
        <c:ser>
          <c:idx val="1"/>
          <c:order val="1"/>
          <c:tx>
            <c:strRef>
              <c:f>'Promo_Stockout_ Impact'!$G$14</c:f>
              <c:strCache>
                <c:ptCount val="1"/>
                <c:pt idx="0">
                  <c:v>Stat_WAPE_Promo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Impact'!$G$15:$G$38</c:f>
              <c:numCache>
                <c:formatCode>0.0%</c:formatCode>
                <c:ptCount val="24"/>
                <c:pt idx="0">
                  <c:v>0.10735930735930736</c:v>
                </c:pt>
                <c:pt idx="1">
                  <c:v>0.12250580046403713</c:v>
                </c:pt>
                <c:pt idx="2">
                  <c:v>0.13048566413107079</c:v>
                </c:pt>
                <c:pt idx="3">
                  <c:v>0.13735996103263517</c:v>
                </c:pt>
                <c:pt idx="4">
                  <c:v>0.10743801652892562</c:v>
                </c:pt>
                <c:pt idx="5">
                  <c:v>0.12880324543610547</c:v>
                </c:pt>
                <c:pt idx="6">
                  <c:v>0.14082840236686389</c:v>
                </c:pt>
                <c:pt idx="7">
                  <c:v>0.1302170283806344</c:v>
                </c:pt>
                <c:pt idx="8">
                  <c:v>0.13264248704663212</c:v>
                </c:pt>
                <c:pt idx="9">
                  <c:v>0.15639810426540285</c:v>
                </c:pt>
                <c:pt idx="10">
                  <c:v>0.12868217054263567</c:v>
                </c:pt>
                <c:pt idx="11">
                  <c:v>0.12794268167860798</c:v>
                </c:pt>
                <c:pt idx="12">
                  <c:v>0.12593144560357675</c:v>
                </c:pt>
                <c:pt idx="13">
                  <c:v>0.11656746031746032</c:v>
                </c:pt>
                <c:pt idx="14">
                  <c:v>0.10473457675753228</c:v>
                </c:pt>
                <c:pt idx="15">
                  <c:v>0.14543114543114544</c:v>
                </c:pt>
                <c:pt idx="16">
                  <c:v>0.13410900183710961</c:v>
                </c:pt>
                <c:pt idx="17">
                  <c:v>7.789855072463768E-2</c:v>
                </c:pt>
                <c:pt idx="18">
                  <c:v>9.7256857855361589E-2</c:v>
                </c:pt>
                <c:pt idx="19">
                  <c:v>0.12299465240641712</c:v>
                </c:pt>
                <c:pt idx="20">
                  <c:v>0.12792297111416781</c:v>
                </c:pt>
                <c:pt idx="21">
                  <c:v>0.11608961303462322</c:v>
                </c:pt>
                <c:pt idx="22">
                  <c:v>0.16846153846153847</c:v>
                </c:pt>
                <c:pt idx="23">
                  <c:v>0.11686586985391766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0-4CAE-A9D0-56B885726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37910608"/>
        <c:axId val="1237911088"/>
      </c:lineChart>
      <c:catAx>
        <c:axId val="123791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11088"/>
        <c:crosses val="autoZero"/>
        <c:auto val="1"/>
        <c:lblAlgn val="ctr"/>
        <c:lblOffset val="100"/>
        <c:noMultiLvlLbl val="0"/>
      </c:catAx>
      <c:valAx>
        <c:axId val="123791108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106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Consensus WAPE Promo v/s NoPromo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7851670741646294"/>
          <c:y val="2.0997375328083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Impact'!$H$14</c:f>
              <c:strCache>
                <c:ptCount val="1"/>
                <c:pt idx="0">
                  <c:v>Cons_WAPE_NoPromo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Impact'!$H$15:$H$38</c:f>
              <c:numCache>
                <c:formatCode>0.0%</c:formatCode>
                <c:ptCount val="24"/>
                <c:pt idx="0">
                  <c:v>3.1387808041504539E-2</c:v>
                </c:pt>
                <c:pt idx="1">
                  <c:v>5.1749060422087309E-2</c:v>
                </c:pt>
                <c:pt idx="2">
                  <c:v>4.3021766965428934E-2</c:v>
                </c:pt>
                <c:pt idx="3">
                  <c:v>3.3785734911926074E-2</c:v>
                </c:pt>
                <c:pt idx="4">
                  <c:v>4.215732454074423E-2</c:v>
                </c:pt>
                <c:pt idx="5">
                  <c:v>5.2350427350427352E-2</c:v>
                </c:pt>
                <c:pt idx="6">
                  <c:v>4.0986040986040986E-2</c:v>
                </c:pt>
                <c:pt idx="7">
                  <c:v>3.4869240348692404E-2</c:v>
                </c:pt>
                <c:pt idx="8">
                  <c:v>4.2158516020236091E-2</c:v>
                </c:pt>
                <c:pt idx="9">
                  <c:v>4.4648511716276124E-2</c:v>
                </c:pt>
                <c:pt idx="10">
                  <c:v>5.1661631419939576E-2</c:v>
                </c:pt>
                <c:pt idx="11">
                  <c:v>4.6530837004405287E-2</c:v>
                </c:pt>
                <c:pt idx="12">
                  <c:v>4.8992089818831332E-2</c:v>
                </c:pt>
                <c:pt idx="13">
                  <c:v>4.04707233065442E-2</c:v>
                </c:pt>
                <c:pt idx="14">
                  <c:v>4.2715827338129495E-2</c:v>
                </c:pt>
                <c:pt idx="15">
                  <c:v>4.7097707085312954E-2</c:v>
                </c:pt>
                <c:pt idx="16">
                  <c:v>5.3182214472537057E-2</c:v>
                </c:pt>
                <c:pt idx="17">
                  <c:v>3.6612632755729457E-2</c:v>
                </c:pt>
                <c:pt idx="18">
                  <c:v>3.5649546827794559E-2</c:v>
                </c:pt>
                <c:pt idx="19">
                  <c:v>3.9988151658767769E-2</c:v>
                </c:pt>
                <c:pt idx="20">
                  <c:v>3.6339754816112083E-2</c:v>
                </c:pt>
                <c:pt idx="21">
                  <c:v>3.6814159292035395E-2</c:v>
                </c:pt>
                <c:pt idx="22">
                  <c:v>5.0544050544050541E-2</c:v>
                </c:pt>
                <c:pt idx="23">
                  <c:v>4.4532130777903044E-2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4-496C-87A7-10C269513DEF}"/>
            </c:ext>
          </c:extLst>
        </c:ser>
        <c:ser>
          <c:idx val="1"/>
          <c:order val="1"/>
          <c:tx>
            <c:strRef>
              <c:f>'Promo_Stockout_ Impact'!$I$14</c:f>
              <c:strCache>
                <c:ptCount val="1"/>
                <c:pt idx="0">
                  <c:v>Cons_WAPE_Promo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Impact'!$I$15:$I$38</c:f>
              <c:numCache>
                <c:formatCode>0.0%</c:formatCode>
                <c:ptCount val="24"/>
                <c:pt idx="0">
                  <c:v>2.5974025974025976E-2</c:v>
                </c:pt>
                <c:pt idx="1">
                  <c:v>3.6194895591647333E-2</c:v>
                </c:pt>
                <c:pt idx="2">
                  <c:v>4.0374488004681103E-2</c:v>
                </c:pt>
                <c:pt idx="3">
                  <c:v>5.1631758402338045E-2</c:v>
                </c:pt>
                <c:pt idx="4">
                  <c:v>5.06198347107438E-2</c:v>
                </c:pt>
                <c:pt idx="5">
                  <c:v>4.8681541582150101E-2</c:v>
                </c:pt>
                <c:pt idx="6">
                  <c:v>4.7337278106508875E-2</c:v>
                </c:pt>
                <c:pt idx="7">
                  <c:v>6.0100166944908183E-2</c:v>
                </c:pt>
                <c:pt idx="8">
                  <c:v>3.8341968911917101E-2</c:v>
                </c:pt>
                <c:pt idx="9">
                  <c:v>5.3712480252764615E-2</c:v>
                </c:pt>
                <c:pt idx="10">
                  <c:v>5.1162790697674418E-2</c:v>
                </c:pt>
                <c:pt idx="11">
                  <c:v>3.3776867963152504E-2</c:v>
                </c:pt>
                <c:pt idx="12">
                  <c:v>4.8435171385991058E-2</c:v>
                </c:pt>
                <c:pt idx="13">
                  <c:v>4.41468253968254E-2</c:v>
                </c:pt>
                <c:pt idx="14">
                  <c:v>3.3715925394548062E-2</c:v>
                </c:pt>
                <c:pt idx="15">
                  <c:v>7.9794079794079792E-2</c:v>
                </c:pt>
                <c:pt idx="16">
                  <c:v>4.470300061236987E-2</c:v>
                </c:pt>
                <c:pt idx="17">
                  <c:v>4.8007246376811592E-2</c:v>
                </c:pt>
                <c:pt idx="18">
                  <c:v>4.2394014962593519E-2</c:v>
                </c:pt>
                <c:pt idx="19">
                  <c:v>5.7040998217468802E-2</c:v>
                </c:pt>
                <c:pt idx="20">
                  <c:v>4.1265474552957357E-2</c:v>
                </c:pt>
                <c:pt idx="21">
                  <c:v>5.0916496945010187E-2</c:v>
                </c:pt>
                <c:pt idx="22">
                  <c:v>5.153846153846154E-2</c:v>
                </c:pt>
                <c:pt idx="23">
                  <c:v>6.2416998671978752E-2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4-496C-87A7-10C269513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7404080"/>
        <c:axId val="97412240"/>
      </c:lineChart>
      <c:catAx>
        <c:axId val="9740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2240"/>
        <c:crosses val="autoZero"/>
        <c:auto val="1"/>
        <c:lblAlgn val="ctr"/>
        <c:lblOffset val="100"/>
        <c:noMultiLvlLbl val="0"/>
      </c:catAx>
      <c:valAx>
        <c:axId val="974122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40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Statistical MAPE Stockout v/s NoStockout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Impact'!$B$42</c:f>
              <c:strCache>
                <c:ptCount val="1"/>
                <c:pt idx="0">
                  <c:v>Stat_MAPE_NoStockout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Impact'!$B$43:$B$66</c:f>
              <c:numCache>
                <c:formatCode>0.0%</c:formatCode>
                <c:ptCount val="24"/>
                <c:pt idx="0">
                  <c:v>0.10667349811037401</c:v>
                </c:pt>
                <c:pt idx="1">
                  <c:v>0.10991875700291381</c:v>
                </c:pt>
                <c:pt idx="2">
                  <c:v>0.13961736067669375</c:v>
                </c:pt>
                <c:pt idx="3">
                  <c:v>0.12574104055181026</c:v>
                </c:pt>
                <c:pt idx="4">
                  <c:v>0.13061691710437248</c:v>
                </c:pt>
                <c:pt idx="5">
                  <c:v>0.10677406832328154</c:v>
                </c:pt>
                <c:pt idx="6">
                  <c:v>0.11918995767535312</c:v>
                </c:pt>
                <c:pt idx="7">
                  <c:v>0.10281903124236336</c:v>
                </c:pt>
                <c:pt idx="8">
                  <c:v>0.11946237436037387</c:v>
                </c:pt>
                <c:pt idx="9">
                  <c:v>0.1252594262957212</c:v>
                </c:pt>
                <c:pt idx="10">
                  <c:v>0.11192768206563843</c:v>
                </c:pt>
                <c:pt idx="11">
                  <c:v>0.12994854283295001</c:v>
                </c:pt>
                <c:pt idx="12">
                  <c:v>0.1210030057313829</c:v>
                </c:pt>
                <c:pt idx="13">
                  <c:v>0.1220689379764071</c:v>
                </c:pt>
                <c:pt idx="14">
                  <c:v>9.6640960678372384E-2</c:v>
                </c:pt>
                <c:pt idx="15">
                  <c:v>0.13232022823934539</c:v>
                </c:pt>
                <c:pt idx="16">
                  <c:v>0.12586678647775348</c:v>
                </c:pt>
                <c:pt idx="17">
                  <c:v>0.10984633745742239</c:v>
                </c:pt>
                <c:pt idx="18">
                  <c:v>0.11392230344812952</c:v>
                </c:pt>
                <c:pt idx="19">
                  <c:v>0.11575851237703673</c:v>
                </c:pt>
                <c:pt idx="20">
                  <c:v>0.11819781653194783</c:v>
                </c:pt>
                <c:pt idx="21">
                  <c:v>0.11897389069984926</c:v>
                </c:pt>
                <c:pt idx="22">
                  <c:v>0.12798845859165675</c:v>
                </c:pt>
                <c:pt idx="23">
                  <c:v>0.11926964846230076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B-4417-A757-BFD1F844982D}"/>
            </c:ext>
          </c:extLst>
        </c:ser>
        <c:ser>
          <c:idx val="1"/>
          <c:order val="1"/>
          <c:tx>
            <c:strRef>
              <c:f>'Promo_Stockout_ Impact'!$C$42</c:f>
              <c:strCache>
                <c:ptCount val="1"/>
                <c:pt idx="0">
                  <c:v>Stat_MAPE_Stockout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Impact'!$C$43:$C$66</c:f>
              <c:numCache>
                <c:formatCode>0.0%</c:formatCode>
                <c:ptCount val="24"/>
                <c:pt idx="0">
                  <c:v>0.1107491381146959</c:v>
                </c:pt>
                <c:pt idx="1">
                  <c:v>0.17286289367748048</c:v>
                </c:pt>
                <c:pt idx="2">
                  <c:v>0.10576923076923075</c:v>
                </c:pt>
                <c:pt idx="3">
                  <c:v>7.6628989361702121E-2</c:v>
                </c:pt>
                <c:pt idx="4">
                  <c:v>2.0317656765676567E-2</c:v>
                </c:pt>
                <c:pt idx="5">
                  <c:v>8.8898104836936248E-2</c:v>
                </c:pt>
                <c:pt idx="6">
                  <c:v>0.15825617283950619</c:v>
                </c:pt>
                <c:pt idx="7">
                  <c:v>3.5181704260651626E-2</c:v>
                </c:pt>
                <c:pt idx="8">
                  <c:v>7.6923076923076927E-2</c:v>
                </c:pt>
                <c:pt idx="9">
                  <c:v>4.601723413198823E-2</c:v>
                </c:pt>
                <c:pt idx="10">
                  <c:v>0.1517578547612369</c:v>
                </c:pt>
                <c:pt idx="11">
                  <c:v>0.10861938191175298</c:v>
                </c:pt>
                <c:pt idx="12">
                  <c:v>0</c:v>
                </c:pt>
                <c:pt idx="13">
                  <c:v>8.7491337491337501E-2</c:v>
                </c:pt>
                <c:pt idx="14">
                  <c:v>0.02</c:v>
                </c:pt>
                <c:pt idx="15">
                  <c:v>5.1020408163265307E-2</c:v>
                </c:pt>
                <c:pt idx="16">
                  <c:v>0.19697142603546544</c:v>
                </c:pt>
                <c:pt idx="17">
                  <c:v>7.3913951545530501E-2</c:v>
                </c:pt>
                <c:pt idx="18">
                  <c:v>0.10330566028745847</c:v>
                </c:pt>
                <c:pt idx="19">
                  <c:v>4.4070512820512817E-2</c:v>
                </c:pt>
                <c:pt idx="20">
                  <c:v>6.9980609906574995E-2</c:v>
                </c:pt>
                <c:pt idx="21">
                  <c:v>9.0909090909090912E-2</c:v>
                </c:pt>
                <c:pt idx="22">
                  <c:v>0.13173680151553166</c:v>
                </c:pt>
                <c:pt idx="23">
                  <c:v>0.11505239080966519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B-4417-A757-BFD1F844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23952480"/>
        <c:axId val="1323958240"/>
      </c:lineChart>
      <c:catAx>
        <c:axId val="13239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958240"/>
        <c:crosses val="autoZero"/>
        <c:auto val="1"/>
        <c:lblAlgn val="ctr"/>
        <c:lblOffset val="100"/>
        <c:noMultiLvlLbl val="0"/>
      </c:catAx>
      <c:valAx>
        <c:axId val="13239582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9524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Consensus MAPE Stockout v/s NoStockout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Impact'!$D$42</c:f>
              <c:strCache>
                <c:ptCount val="1"/>
                <c:pt idx="0">
                  <c:v>Cons_MAPE_NoStockout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Impact'!$D$43:$D$66</c:f>
              <c:numCache>
                <c:formatCode>0.0%</c:formatCode>
                <c:ptCount val="24"/>
                <c:pt idx="0">
                  <c:v>3.3412406490603244E-2</c:v>
                </c:pt>
                <c:pt idx="1">
                  <c:v>4.7844706363385253E-2</c:v>
                </c:pt>
                <c:pt idx="2">
                  <c:v>4.3623543350445035E-2</c:v>
                </c:pt>
                <c:pt idx="3">
                  <c:v>4.1050734025548312E-2</c:v>
                </c:pt>
                <c:pt idx="4">
                  <c:v>4.4656258044892747E-2</c:v>
                </c:pt>
                <c:pt idx="5">
                  <c:v>4.9415553259784924E-2</c:v>
                </c:pt>
                <c:pt idx="6">
                  <c:v>4.2318703300549362E-2</c:v>
                </c:pt>
                <c:pt idx="7">
                  <c:v>3.8619959986018443E-2</c:v>
                </c:pt>
                <c:pt idx="8">
                  <c:v>4.1392807546854336E-2</c:v>
                </c:pt>
                <c:pt idx="9">
                  <c:v>4.2154006641969152E-2</c:v>
                </c:pt>
                <c:pt idx="10">
                  <c:v>4.5528914602050718E-2</c:v>
                </c:pt>
                <c:pt idx="11">
                  <c:v>4.2596337920536201E-2</c:v>
                </c:pt>
                <c:pt idx="12">
                  <c:v>4.8846825216084508E-2</c:v>
                </c:pt>
                <c:pt idx="13">
                  <c:v>4.2381166986043196E-2</c:v>
                </c:pt>
                <c:pt idx="14">
                  <c:v>4.0148647096097077E-2</c:v>
                </c:pt>
                <c:pt idx="15">
                  <c:v>4.8614912437308991E-2</c:v>
                </c:pt>
                <c:pt idx="16">
                  <c:v>4.403784522035311E-2</c:v>
                </c:pt>
                <c:pt idx="17">
                  <c:v>3.6729804019230684E-2</c:v>
                </c:pt>
                <c:pt idx="18">
                  <c:v>3.7322529223324727E-2</c:v>
                </c:pt>
                <c:pt idx="19">
                  <c:v>4.6139984098795835E-2</c:v>
                </c:pt>
                <c:pt idx="20">
                  <c:v>3.769709393694886E-2</c:v>
                </c:pt>
                <c:pt idx="21">
                  <c:v>3.9352952407280976E-2</c:v>
                </c:pt>
                <c:pt idx="22">
                  <c:v>4.7945014759855679E-2</c:v>
                </c:pt>
                <c:pt idx="23">
                  <c:v>5.3090818431758439E-2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C-4CC3-AF9E-5421096B70D8}"/>
            </c:ext>
          </c:extLst>
        </c:ser>
        <c:ser>
          <c:idx val="1"/>
          <c:order val="1"/>
          <c:tx>
            <c:strRef>
              <c:f>'Promo_Stockout_ Impact'!$E$42</c:f>
              <c:strCache>
                <c:ptCount val="1"/>
                <c:pt idx="0">
                  <c:v>Cons_MAPE_Stockout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Impact'!$E$43:$E$66</c:f>
              <c:numCache>
                <c:formatCode>0.0%</c:formatCode>
                <c:ptCount val="24"/>
                <c:pt idx="0">
                  <c:v>4.3650870605647006E-2</c:v>
                </c:pt>
                <c:pt idx="1">
                  <c:v>2.9244612834477858E-2</c:v>
                </c:pt>
                <c:pt idx="2">
                  <c:v>6.9139194139194143E-2</c:v>
                </c:pt>
                <c:pt idx="3">
                  <c:v>4.4381648936170214E-2</c:v>
                </c:pt>
                <c:pt idx="4">
                  <c:v>3.6819306930693067E-2</c:v>
                </c:pt>
                <c:pt idx="5">
                  <c:v>1.2092074592074592E-2</c:v>
                </c:pt>
                <c:pt idx="6">
                  <c:v>4.3055555555555548E-2</c:v>
                </c:pt>
                <c:pt idx="7">
                  <c:v>4.4528551107498475E-2</c:v>
                </c:pt>
                <c:pt idx="8">
                  <c:v>0</c:v>
                </c:pt>
                <c:pt idx="9">
                  <c:v>6.3713745271122321E-2</c:v>
                </c:pt>
                <c:pt idx="10">
                  <c:v>6.4826664674931908E-2</c:v>
                </c:pt>
                <c:pt idx="11">
                  <c:v>3.8423259311966065E-2</c:v>
                </c:pt>
                <c:pt idx="12">
                  <c:v>0</c:v>
                </c:pt>
                <c:pt idx="13">
                  <c:v>4.5911295911295912E-2</c:v>
                </c:pt>
                <c:pt idx="14">
                  <c:v>0.02</c:v>
                </c:pt>
                <c:pt idx="15">
                  <c:v>0</c:v>
                </c:pt>
                <c:pt idx="16">
                  <c:v>7.4802459038912236E-2</c:v>
                </c:pt>
                <c:pt idx="17">
                  <c:v>7.4169799498746872E-2</c:v>
                </c:pt>
                <c:pt idx="18">
                  <c:v>3.2903971183405795E-2</c:v>
                </c:pt>
                <c:pt idx="19">
                  <c:v>2.2035256410256408E-2</c:v>
                </c:pt>
                <c:pt idx="20">
                  <c:v>4.121129326047359E-2</c:v>
                </c:pt>
                <c:pt idx="21">
                  <c:v>9.0909090909090912E-2</c:v>
                </c:pt>
                <c:pt idx="22">
                  <c:v>6.1438408849694093E-2</c:v>
                </c:pt>
                <c:pt idx="23">
                  <c:v>2.6981351981351983E-2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0C-4CC3-AF9E-5421096B7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3851360"/>
        <c:axId val="323853760"/>
      </c:lineChart>
      <c:catAx>
        <c:axId val="3238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53760"/>
        <c:crosses val="autoZero"/>
        <c:auto val="1"/>
        <c:lblAlgn val="ctr"/>
        <c:lblOffset val="100"/>
        <c:noMultiLvlLbl val="0"/>
      </c:catAx>
      <c:valAx>
        <c:axId val="32385376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513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Statistical WAPE Stockout v/s NoStockout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layout>
        <c:manualLayout>
          <c:xMode val="edge"/>
          <c:yMode val="edge"/>
          <c:x val="0.22675108468584285"/>
          <c:y val="1.6085790884718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Impact'!$F$42</c:f>
              <c:strCache>
                <c:ptCount val="1"/>
                <c:pt idx="0">
                  <c:v>Stat_WAPE_NoStockout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Impact'!$F$43:$F$66</c:f>
              <c:numCache>
                <c:formatCode>0.0%</c:formatCode>
                <c:ptCount val="24"/>
                <c:pt idx="0">
                  <c:v>0.10160660008684325</c:v>
                </c:pt>
                <c:pt idx="1">
                  <c:v>0.11316270566727606</c:v>
                </c:pt>
                <c:pt idx="2">
                  <c:v>0.13202247191011235</c:v>
                </c:pt>
                <c:pt idx="3">
                  <c:v>0.13717805151175813</c:v>
                </c:pt>
                <c:pt idx="4">
                  <c:v>0.12590361445783133</c:v>
                </c:pt>
                <c:pt idx="5">
                  <c:v>0.11417926802542187</c:v>
                </c:pt>
                <c:pt idx="6">
                  <c:v>0.12127091923356779</c:v>
                </c:pt>
                <c:pt idx="7">
                  <c:v>0.10057708161582853</c:v>
                </c:pt>
                <c:pt idx="8">
                  <c:v>0.12423155737704918</c:v>
                </c:pt>
                <c:pt idx="9">
                  <c:v>0.12709030100334448</c:v>
                </c:pt>
                <c:pt idx="10">
                  <c:v>0.10875034945485043</c:v>
                </c:pt>
                <c:pt idx="11">
                  <c:v>0.12450082217524078</c:v>
                </c:pt>
                <c:pt idx="12">
                  <c:v>0.12241018817715263</c:v>
                </c:pt>
                <c:pt idx="13">
                  <c:v>0.12902019446522064</c:v>
                </c:pt>
                <c:pt idx="14">
                  <c:v>0.10376381215469613</c:v>
                </c:pt>
                <c:pt idx="15">
                  <c:v>0.14130434782608695</c:v>
                </c:pt>
                <c:pt idx="16">
                  <c:v>0.12322375397667021</c:v>
                </c:pt>
                <c:pt idx="17">
                  <c:v>0.11488600804649084</c:v>
                </c:pt>
                <c:pt idx="18">
                  <c:v>0.11972020446596718</c:v>
                </c:pt>
                <c:pt idx="19">
                  <c:v>0.11941468513195715</c:v>
                </c:pt>
                <c:pt idx="20">
                  <c:v>0.12364243943191311</c:v>
                </c:pt>
                <c:pt idx="21">
                  <c:v>0.12685961590478767</c:v>
                </c:pt>
                <c:pt idx="22">
                  <c:v>0.12801047120418849</c:v>
                </c:pt>
                <c:pt idx="23">
                  <c:v>0.11608066184074457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7-4377-A630-3E084E0EE474}"/>
            </c:ext>
          </c:extLst>
        </c:ser>
        <c:ser>
          <c:idx val="1"/>
          <c:order val="1"/>
          <c:tx>
            <c:strRef>
              <c:f>'Promo_Stockout_ Impact'!$G$42</c:f>
              <c:strCache>
                <c:ptCount val="1"/>
                <c:pt idx="0">
                  <c:v>Stat_WAPE_Stockout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Impact'!$G$43:$G$66</c:f>
              <c:numCache>
                <c:formatCode>0.0%</c:formatCode>
                <c:ptCount val="24"/>
                <c:pt idx="0">
                  <c:v>0.11633663366336634</c:v>
                </c:pt>
                <c:pt idx="1">
                  <c:v>0.15277777777777779</c:v>
                </c:pt>
                <c:pt idx="2">
                  <c:v>0.13503649635036497</c:v>
                </c:pt>
                <c:pt idx="3">
                  <c:v>8.2278481012658222E-2</c:v>
                </c:pt>
                <c:pt idx="4">
                  <c:v>1.7094017094017096E-2</c:v>
                </c:pt>
                <c:pt idx="5">
                  <c:v>8.3832335329341312E-2</c:v>
                </c:pt>
                <c:pt idx="6">
                  <c:v>0.15730337078651685</c:v>
                </c:pt>
                <c:pt idx="7">
                  <c:v>3.4883720930232558E-2</c:v>
                </c:pt>
                <c:pt idx="8">
                  <c:v>7.6923076923076927E-2</c:v>
                </c:pt>
                <c:pt idx="9">
                  <c:v>4.9261083743842367E-2</c:v>
                </c:pt>
                <c:pt idx="10">
                  <c:v>0.16137566137566137</c:v>
                </c:pt>
                <c:pt idx="11">
                  <c:v>9.9431818181818177E-2</c:v>
                </c:pt>
                <c:pt idx="12">
                  <c:v>0</c:v>
                </c:pt>
                <c:pt idx="13">
                  <c:v>8.5526315789473686E-2</c:v>
                </c:pt>
                <c:pt idx="14">
                  <c:v>0.02</c:v>
                </c:pt>
                <c:pt idx="15">
                  <c:v>5.1020408163265307E-2</c:v>
                </c:pt>
                <c:pt idx="16">
                  <c:v>0.19498607242339833</c:v>
                </c:pt>
                <c:pt idx="17">
                  <c:v>6.25E-2</c:v>
                </c:pt>
                <c:pt idx="18">
                  <c:v>0.11392405063291139</c:v>
                </c:pt>
                <c:pt idx="19">
                  <c:v>3.6363636363636362E-2</c:v>
                </c:pt>
                <c:pt idx="20">
                  <c:v>8.8435374149659865E-2</c:v>
                </c:pt>
                <c:pt idx="21">
                  <c:v>9.0909090909090912E-2</c:v>
                </c:pt>
                <c:pt idx="22">
                  <c:v>0.13069908814589665</c:v>
                </c:pt>
                <c:pt idx="23">
                  <c:v>0.12009237875288684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7-4377-A630-3E084E0E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18819024"/>
        <c:axId val="1718821904"/>
      </c:lineChart>
      <c:catAx>
        <c:axId val="171881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21904"/>
        <c:crosses val="autoZero"/>
        <c:auto val="1"/>
        <c:lblAlgn val="ctr"/>
        <c:lblOffset val="100"/>
        <c:noMultiLvlLbl val="0"/>
      </c:catAx>
      <c:valAx>
        <c:axId val="17188219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190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Consensus WAPE Stockout v/s NoStockout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'Promo_Stockout_ Impact'!$H$42</c:f>
              <c:strCache>
                <c:ptCount val="1"/>
                <c:pt idx="0">
                  <c:v>Cons_WAPE_NoStockout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Impact'!$H$43:$H$66</c:f>
              <c:numCache>
                <c:formatCode>0.0%</c:formatCode>
                <c:ptCount val="24"/>
                <c:pt idx="0">
                  <c:v>2.9309596178897092E-2</c:v>
                </c:pt>
                <c:pt idx="1">
                  <c:v>4.6435100548446066E-2</c:v>
                </c:pt>
                <c:pt idx="2">
                  <c:v>4.0262172284644196E-2</c:v>
                </c:pt>
                <c:pt idx="3">
                  <c:v>4.0500186636804776E-2</c:v>
                </c:pt>
                <c:pt idx="4">
                  <c:v>4.3975903614457829E-2</c:v>
                </c:pt>
                <c:pt idx="5">
                  <c:v>5.3035283804514576E-2</c:v>
                </c:pt>
                <c:pt idx="6">
                  <c:v>4.220227989328159E-2</c:v>
                </c:pt>
                <c:pt idx="7">
                  <c:v>3.8746908491343775E-2</c:v>
                </c:pt>
                <c:pt idx="8">
                  <c:v>4.149590163934426E-2</c:v>
                </c:pt>
                <c:pt idx="9">
                  <c:v>4.5707915273132664E-2</c:v>
                </c:pt>
                <c:pt idx="10">
                  <c:v>5.060106234274532E-2</c:v>
                </c:pt>
                <c:pt idx="11">
                  <c:v>4.4867277425416963E-2</c:v>
                </c:pt>
                <c:pt idx="12">
                  <c:v>4.8850028511689791E-2</c:v>
                </c:pt>
                <c:pt idx="13">
                  <c:v>4.1697830964846673E-2</c:v>
                </c:pt>
                <c:pt idx="14">
                  <c:v>4.074585635359116E-2</c:v>
                </c:pt>
                <c:pt idx="15">
                  <c:v>5.2536231884057968E-2</c:v>
                </c:pt>
                <c:pt idx="16">
                  <c:v>4.8356309650053025E-2</c:v>
                </c:pt>
                <c:pt idx="17">
                  <c:v>3.7773804202056324E-2</c:v>
                </c:pt>
                <c:pt idx="18">
                  <c:v>3.6857680925477539E-2</c:v>
                </c:pt>
                <c:pt idx="19">
                  <c:v>4.3114711262085187E-2</c:v>
                </c:pt>
                <c:pt idx="20">
                  <c:v>3.8150932887774991E-2</c:v>
                </c:pt>
                <c:pt idx="21">
                  <c:v>3.8950500405734383E-2</c:v>
                </c:pt>
                <c:pt idx="22">
                  <c:v>4.9738219895287955E-2</c:v>
                </c:pt>
                <c:pt idx="23">
                  <c:v>4.9379524301964843E-2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3-41AF-BF12-1F49805FB7A7}"/>
            </c:ext>
          </c:extLst>
        </c:ser>
        <c:ser>
          <c:idx val="1"/>
          <c:order val="1"/>
          <c:tx>
            <c:strRef>
              <c:f>'Promo_Stockout_ Impact'!$I$42</c:f>
              <c:strCache>
                <c:ptCount val="1"/>
                <c:pt idx="0">
                  <c:v>Cons_WAPE_Stockout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'Promo_Stockout_ Impact'!$I$43:$I$66</c:f>
              <c:numCache>
                <c:formatCode>0.0%</c:formatCode>
                <c:ptCount val="24"/>
                <c:pt idx="0">
                  <c:v>3.9603960396039604E-2</c:v>
                </c:pt>
                <c:pt idx="1">
                  <c:v>2.0833333333333332E-2</c:v>
                </c:pt>
                <c:pt idx="2">
                  <c:v>8.0291970802919707E-2</c:v>
                </c:pt>
                <c:pt idx="3">
                  <c:v>3.7974683544303799E-2</c:v>
                </c:pt>
                <c:pt idx="4">
                  <c:v>3.8461538461538464E-2</c:v>
                </c:pt>
                <c:pt idx="5">
                  <c:v>1.1976047904191617E-2</c:v>
                </c:pt>
                <c:pt idx="6">
                  <c:v>4.49438202247191E-2</c:v>
                </c:pt>
                <c:pt idx="7">
                  <c:v>4.0697674418604654E-2</c:v>
                </c:pt>
                <c:pt idx="8">
                  <c:v>0</c:v>
                </c:pt>
                <c:pt idx="9">
                  <c:v>5.4187192118226604E-2</c:v>
                </c:pt>
                <c:pt idx="10">
                  <c:v>6.0846560846560843E-2</c:v>
                </c:pt>
                <c:pt idx="11">
                  <c:v>3.125E-2</c:v>
                </c:pt>
                <c:pt idx="12">
                  <c:v>0</c:v>
                </c:pt>
                <c:pt idx="13">
                  <c:v>4.6052631578947366E-2</c:v>
                </c:pt>
                <c:pt idx="14">
                  <c:v>0.02</c:v>
                </c:pt>
                <c:pt idx="15">
                  <c:v>0</c:v>
                </c:pt>
                <c:pt idx="16">
                  <c:v>7.7994428969359333E-2</c:v>
                </c:pt>
                <c:pt idx="17">
                  <c:v>7.2115384615384609E-2</c:v>
                </c:pt>
                <c:pt idx="18">
                  <c:v>3.7974683544303799E-2</c:v>
                </c:pt>
                <c:pt idx="19">
                  <c:v>1.8181818181818181E-2</c:v>
                </c:pt>
                <c:pt idx="20">
                  <c:v>4.0816326530612242E-2</c:v>
                </c:pt>
                <c:pt idx="21">
                  <c:v>9.0909090909090912E-2</c:v>
                </c:pt>
                <c:pt idx="22">
                  <c:v>6.3829787234042548E-2</c:v>
                </c:pt>
                <c:pt idx="23">
                  <c:v>3.2332563510392612E-2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3-41AF-BF12-1F49805F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18640288"/>
        <c:axId val="1318654208"/>
      </c:lineChart>
      <c:catAx>
        <c:axId val="13186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54208"/>
        <c:crosses val="autoZero"/>
        <c:auto val="1"/>
        <c:lblAlgn val="ctr"/>
        <c:lblOffset val="100"/>
        <c:noMultiLvlLbl val="0"/>
      </c:catAx>
      <c:valAx>
        <c:axId val="131865420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402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Forecast Accuracy Trend'!$B$3</c:f>
              <c:strCache>
                <c:ptCount val="1"/>
                <c:pt idx="0">
                  <c:v>Statistical_WAPE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Forecast Accuracy Trend'!$A$4:$A$27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Forecast Accuracy Trend'!$B$4:$B$27</c:f>
              <c:numCache>
                <c:formatCode>0.0%</c:formatCode>
                <c:ptCount val="24"/>
                <c:pt idx="0">
                  <c:v>0.10279441117764471</c:v>
                </c:pt>
                <c:pt idx="1">
                  <c:v>0.11417883861774136</c:v>
                </c:pt>
                <c:pt idx="2">
                  <c:v>0.13216957605985039</c:v>
                </c:pt>
                <c:pt idx="3">
                  <c:v>0.13560551124002901</c:v>
                </c:pt>
                <c:pt idx="4">
                  <c:v>0.12102032988108938</c:v>
                </c:pt>
                <c:pt idx="5">
                  <c:v>0.113107822410148</c:v>
                </c:pt>
                <c:pt idx="6">
                  <c:v>0.12203228869895537</c:v>
                </c:pt>
                <c:pt idx="7">
                  <c:v>9.761217528207819E-2</c:v>
                </c:pt>
                <c:pt idx="8">
                  <c:v>0.12391857506361323</c:v>
                </c:pt>
                <c:pt idx="9">
                  <c:v>0.12292271168557109</c:v>
                </c:pt>
                <c:pt idx="10">
                  <c:v>0.11378002528445007</c:v>
                </c:pt>
                <c:pt idx="11">
                  <c:v>0.12258624430462139</c:v>
                </c:pt>
                <c:pt idx="12">
                  <c:v>0.12241018817715263</c:v>
                </c:pt>
                <c:pt idx="13">
                  <c:v>0.12781818181818183</c:v>
                </c:pt>
                <c:pt idx="14">
                  <c:v>0.1030469017459774</c:v>
                </c:pt>
                <c:pt idx="15">
                  <c:v>0.13972944108223567</c:v>
                </c:pt>
                <c:pt idx="16">
                  <c:v>0.12830114308238078</c:v>
                </c:pt>
                <c:pt idx="17">
                  <c:v>0.11255873558308416</c:v>
                </c:pt>
                <c:pt idx="18">
                  <c:v>0.11916342412451363</c:v>
                </c:pt>
                <c:pt idx="19">
                  <c:v>0.11709423418846837</c:v>
                </c:pt>
                <c:pt idx="20">
                  <c:v>0.12225789192081327</c:v>
                </c:pt>
                <c:pt idx="21">
                  <c:v>0.12582085631731021</c:v>
                </c:pt>
                <c:pt idx="22">
                  <c:v>0.12822366835382021</c:v>
                </c:pt>
                <c:pt idx="23">
                  <c:v>0.11648453847942339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401-83CD-11AED95A1BD1}"/>
            </c:ext>
          </c:extLst>
        </c:ser>
        <c:ser>
          <c:idx val="1"/>
          <c:order val="1"/>
          <c:tx>
            <c:strRef>
              <c:f>'Monthly Forecast Accuracy Trend'!$C$3</c:f>
              <c:strCache>
                <c:ptCount val="1"/>
                <c:pt idx="0">
                  <c:v>Consensus_WAPE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Forecast Accuracy Trend'!$A$4:$A$27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Forecast Accuracy Trend'!$C$4:$C$27</c:f>
              <c:numCache>
                <c:formatCode>0.0%</c:formatCode>
                <c:ptCount val="24"/>
                <c:pt idx="0">
                  <c:v>3.0139720558882234E-2</c:v>
                </c:pt>
                <c:pt idx="1">
                  <c:v>4.5778411115069466E-2</c:v>
                </c:pt>
                <c:pt idx="2">
                  <c:v>4.2215888849305307E-2</c:v>
                </c:pt>
                <c:pt idx="3">
                  <c:v>4.0427846265409718E-2</c:v>
                </c:pt>
                <c:pt idx="4">
                  <c:v>4.3728423475258918E-2</c:v>
                </c:pt>
                <c:pt idx="5">
                  <c:v>5.1585623678646934E-2</c:v>
                </c:pt>
                <c:pt idx="6">
                  <c:v>4.2260208926875591E-2</c:v>
                </c:pt>
                <c:pt idx="7">
                  <c:v>3.8834951456310676E-2</c:v>
                </c:pt>
                <c:pt idx="8">
                  <c:v>4.1221374045801527E-2</c:v>
                </c:pt>
                <c:pt idx="9">
                  <c:v>4.6161962542864678E-2</c:v>
                </c:pt>
                <c:pt idx="10">
                  <c:v>5.1580278128950698E-2</c:v>
                </c:pt>
                <c:pt idx="11">
                  <c:v>4.3827294423953132E-2</c:v>
                </c:pt>
                <c:pt idx="12">
                  <c:v>4.8850028511689791E-2</c:v>
                </c:pt>
                <c:pt idx="13">
                  <c:v>4.1818181818181817E-2</c:v>
                </c:pt>
                <c:pt idx="14">
                  <c:v>4.0568298527901406E-2</c:v>
                </c:pt>
                <c:pt idx="15">
                  <c:v>5.1619793520825914E-2</c:v>
                </c:pt>
                <c:pt idx="16">
                  <c:v>5.0453291288923924E-2</c:v>
                </c:pt>
                <c:pt idx="17">
                  <c:v>3.9299444681759929E-2</c:v>
                </c:pt>
                <c:pt idx="18">
                  <c:v>3.6964980544747082E-2</c:v>
                </c:pt>
                <c:pt idx="19">
                  <c:v>4.241808483616967E-2</c:v>
                </c:pt>
                <c:pt idx="20">
                  <c:v>3.8255751738897809E-2</c:v>
                </c:pt>
                <c:pt idx="21">
                  <c:v>4.0451799317047545E-2</c:v>
                </c:pt>
                <c:pt idx="22">
                  <c:v>5.0855627862135454E-2</c:v>
                </c:pt>
                <c:pt idx="23">
                  <c:v>4.7663334108346896E-2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401-83CD-11AED95A1BD1}"/>
            </c:ext>
          </c:extLst>
        </c:ser>
        <c:ser>
          <c:idx val="2"/>
          <c:order val="2"/>
          <c:tx>
            <c:strRef>
              <c:f>'Monthly Forecast Accuracy Trend'!$D$3</c:f>
              <c:strCache>
                <c:ptCount val="1"/>
                <c:pt idx="0">
                  <c:v>Improved_Stat_WAPE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Forecast Accuracy Trend'!$A$4:$A$27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Forecast Accuracy Trend'!$D$4:$D$27</c:f>
              <c:numCache>
                <c:formatCode>0.0%</c:formatCode>
                <c:ptCount val="24"/>
                <c:pt idx="0">
                  <c:v>5.748502994011976E-2</c:v>
                </c:pt>
                <c:pt idx="1">
                  <c:v>4.381902386889918E-2</c:v>
                </c:pt>
                <c:pt idx="2">
                  <c:v>5.2190951193444961E-2</c:v>
                </c:pt>
                <c:pt idx="3">
                  <c:v>5.2211747643219723E-2</c:v>
                </c:pt>
                <c:pt idx="4">
                  <c:v>4.3153049482163405E-2</c:v>
                </c:pt>
                <c:pt idx="5">
                  <c:v>4.0169133192389003E-2</c:v>
                </c:pt>
                <c:pt idx="6">
                  <c:v>5.5555555555555552E-2</c:v>
                </c:pt>
                <c:pt idx="7">
                  <c:v>5.0905274206245077E-2</c:v>
                </c:pt>
                <c:pt idx="8">
                  <c:v>4.9618320610687022E-2</c:v>
                </c:pt>
                <c:pt idx="9">
                  <c:v>3.9567396465312585E-2</c:v>
                </c:pt>
                <c:pt idx="10">
                  <c:v>5.2591656131479141E-2</c:v>
                </c:pt>
                <c:pt idx="11">
                  <c:v>4.7298763289216748E-2</c:v>
                </c:pt>
                <c:pt idx="12">
                  <c:v>5.2081353354875501E-2</c:v>
                </c:pt>
                <c:pt idx="13">
                  <c:v>4.3090909090909089E-2</c:v>
                </c:pt>
                <c:pt idx="14">
                  <c:v>4.7928791509756929E-2</c:v>
                </c:pt>
                <c:pt idx="15">
                  <c:v>5.4289782840868633E-2</c:v>
                </c:pt>
                <c:pt idx="16">
                  <c:v>5.2029956641702797E-2</c:v>
                </c:pt>
                <c:pt idx="17">
                  <c:v>4.57069628363947E-2</c:v>
                </c:pt>
                <c:pt idx="18">
                  <c:v>4.790856031128405E-2</c:v>
                </c:pt>
                <c:pt idx="19">
                  <c:v>4.9022098044196091E-2</c:v>
                </c:pt>
                <c:pt idx="20">
                  <c:v>4.9759229534510431E-2</c:v>
                </c:pt>
                <c:pt idx="21">
                  <c:v>4.3866561597058054E-2</c:v>
                </c:pt>
                <c:pt idx="22">
                  <c:v>4.8204386599180526E-2</c:v>
                </c:pt>
                <c:pt idx="23">
                  <c:v>5.6963496861195069E-2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A-4401-83CD-11AED95A1BD1}"/>
            </c:ext>
          </c:extLst>
        </c:ser>
        <c:ser>
          <c:idx val="3"/>
          <c:order val="3"/>
          <c:tx>
            <c:strRef>
              <c:f>'Monthly Forecast Accuracy Trend'!$E$3</c:f>
              <c:strCache>
                <c:ptCount val="1"/>
                <c:pt idx="0">
                  <c:v>Statistical_MAPE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Forecast Accuracy Trend'!$A$4:$A$27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Forecast Accuracy Trend'!$E$4:$E$27</c:f>
              <c:numCache>
                <c:formatCode>0.0%</c:formatCode>
                <c:ptCount val="24"/>
                <c:pt idx="0">
                  <c:v>0.10728484411102228</c:v>
                </c:pt>
                <c:pt idx="1">
                  <c:v>0.11306596383664214</c:v>
                </c:pt>
                <c:pt idx="2">
                  <c:v>0.13623254768594745</c:v>
                </c:pt>
                <c:pt idx="3">
                  <c:v>0.12328543799230485</c:v>
                </c:pt>
                <c:pt idx="4">
                  <c:v>0.1223444725789703</c:v>
                </c:pt>
                <c:pt idx="5">
                  <c:v>0.10498647197464699</c:v>
                </c:pt>
                <c:pt idx="6">
                  <c:v>0.12211992381266464</c:v>
                </c:pt>
                <c:pt idx="7">
                  <c:v>9.6055298544192189E-2</c:v>
                </c:pt>
                <c:pt idx="8">
                  <c:v>0.11839889192444145</c:v>
                </c:pt>
                <c:pt idx="9">
                  <c:v>0.11733520707934793</c:v>
                </c:pt>
                <c:pt idx="10">
                  <c:v>0.11790220796997826</c:v>
                </c:pt>
                <c:pt idx="11">
                  <c:v>0.12728239771780031</c:v>
                </c:pt>
                <c:pt idx="12">
                  <c:v>0.1210030057313829</c:v>
                </c:pt>
                <c:pt idx="13">
                  <c:v>0.12034005795215359</c:v>
                </c:pt>
                <c:pt idx="14">
                  <c:v>9.4724936661413059E-2</c:v>
                </c:pt>
                <c:pt idx="15">
                  <c:v>0.13028773273744337</c:v>
                </c:pt>
                <c:pt idx="16">
                  <c:v>0.13297725043352468</c:v>
                </c:pt>
                <c:pt idx="17">
                  <c:v>0.10535478921843588</c:v>
                </c:pt>
                <c:pt idx="18">
                  <c:v>0.11206439089501211</c:v>
                </c:pt>
                <c:pt idx="19">
                  <c:v>0.11217411239921053</c:v>
                </c:pt>
                <c:pt idx="20">
                  <c:v>0.11458152603504486</c:v>
                </c:pt>
                <c:pt idx="21">
                  <c:v>0.11757065071031136</c:v>
                </c:pt>
                <c:pt idx="22">
                  <c:v>0.12845700145714112</c:v>
                </c:pt>
                <c:pt idx="23">
                  <c:v>0.11863705981440542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A-4401-83CD-11AED95A1BD1}"/>
            </c:ext>
          </c:extLst>
        </c:ser>
        <c:ser>
          <c:idx val="4"/>
          <c:order val="4"/>
          <c:tx>
            <c:strRef>
              <c:f>'Monthly Forecast Accuracy Trend'!$F$3</c:f>
              <c:strCache>
                <c:ptCount val="1"/>
                <c:pt idx="0">
                  <c:v>Consensus_MAPE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Forecast Accuracy Trend'!$A$4:$A$27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Forecast Accuracy Trend'!$F$4:$F$27</c:f>
              <c:numCache>
                <c:formatCode>0.0%</c:formatCode>
                <c:ptCount val="24"/>
                <c:pt idx="0">
                  <c:v>3.4948176107859816E-2</c:v>
                </c:pt>
                <c:pt idx="1">
                  <c:v>4.6914701686939883E-2</c:v>
                </c:pt>
                <c:pt idx="2">
                  <c:v>4.6175108429319947E-2</c:v>
                </c:pt>
                <c:pt idx="3">
                  <c:v>4.1217279771079404E-2</c:v>
                </c:pt>
                <c:pt idx="4">
                  <c:v>4.4068486711327771E-2</c:v>
                </c:pt>
                <c:pt idx="5">
                  <c:v>4.568320539301389E-2</c:v>
                </c:pt>
                <c:pt idx="6">
                  <c:v>4.2373967219674832E-2</c:v>
                </c:pt>
                <c:pt idx="7">
                  <c:v>3.9210819098166441E-2</c:v>
                </c:pt>
                <c:pt idx="8">
                  <c:v>4.0357987358182981E-2</c:v>
                </c:pt>
                <c:pt idx="9">
                  <c:v>4.430998050488448E-2</c:v>
                </c:pt>
                <c:pt idx="10">
                  <c:v>4.8423577112982882E-2</c:v>
                </c:pt>
                <c:pt idx="11">
                  <c:v>4.2074703094464941E-2</c:v>
                </c:pt>
                <c:pt idx="12">
                  <c:v>4.8846825216084508E-2</c:v>
                </c:pt>
                <c:pt idx="13">
                  <c:v>4.2557673432305841E-2</c:v>
                </c:pt>
                <c:pt idx="14">
                  <c:v>3.9644930918694657E-2</c:v>
                </c:pt>
                <c:pt idx="15">
                  <c:v>4.7399539626376261E-2</c:v>
                </c:pt>
                <c:pt idx="16">
                  <c:v>4.711430660220902E-2</c:v>
                </c:pt>
                <c:pt idx="17">
                  <c:v>4.140980345417021E-2</c:v>
                </c:pt>
                <c:pt idx="18">
                  <c:v>3.6549281566338916E-2</c:v>
                </c:pt>
                <c:pt idx="19">
                  <c:v>4.493474771436886E-2</c:v>
                </c:pt>
                <c:pt idx="20">
                  <c:v>3.7960658886213208E-2</c:v>
                </c:pt>
                <c:pt idx="21">
                  <c:v>4.1930759332371469E-2</c:v>
                </c:pt>
                <c:pt idx="22">
                  <c:v>4.9631689021085487E-2</c:v>
                </c:pt>
                <c:pt idx="23">
                  <c:v>4.9174398464197466E-2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A-4401-83CD-11AED95A1BD1}"/>
            </c:ext>
          </c:extLst>
        </c:ser>
        <c:ser>
          <c:idx val="5"/>
          <c:order val="5"/>
          <c:tx>
            <c:strRef>
              <c:f>'Monthly Forecast Accuracy Trend'!$G$3</c:f>
              <c:strCache>
                <c:ptCount val="1"/>
                <c:pt idx="0">
                  <c:v>Improved_Stat_MAPE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Forecast Accuracy Trend'!$A$4:$A$27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Forecast Accuracy Trend'!$G$4:$G$27</c:f>
              <c:numCache>
                <c:formatCode>0.0%</c:formatCode>
                <c:ptCount val="24"/>
                <c:pt idx="0">
                  <c:v>6.4563627622936132E-2</c:v>
                </c:pt>
                <c:pt idx="1">
                  <c:v>4.8918023122660817E-2</c:v>
                </c:pt>
                <c:pt idx="2">
                  <c:v>5.0466648737938082E-2</c:v>
                </c:pt>
                <c:pt idx="3">
                  <c:v>4.8942951120395706E-2</c:v>
                </c:pt>
                <c:pt idx="4">
                  <c:v>4.5319665466981851E-2</c:v>
                </c:pt>
                <c:pt idx="5">
                  <c:v>4.8005285509891013E-2</c:v>
                </c:pt>
                <c:pt idx="6">
                  <c:v>6.5000908687460959E-2</c:v>
                </c:pt>
                <c:pt idx="7">
                  <c:v>7.1647381032036009E-2</c:v>
                </c:pt>
                <c:pt idx="8">
                  <c:v>5.7405115263404707E-2</c:v>
                </c:pt>
                <c:pt idx="9">
                  <c:v>4.6409527075242263E-2</c:v>
                </c:pt>
                <c:pt idx="10">
                  <c:v>6.2436624724726032E-2</c:v>
                </c:pt>
                <c:pt idx="11">
                  <c:v>5.0575428539023762E-2</c:v>
                </c:pt>
                <c:pt idx="12">
                  <c:v>5.3859359703021206E-2</c:v>
                </c:pt>
                <c:pt idx="13">
                  <c:v>4.1526631184319596E-2</c:v>
                </c:pt>
                <c:pt idx="14">
                  <c:v>4.4774759561230511E-2</c:v>
                </c:pt>
                <c:pt idx="15">
                  <c:v>5.5524057026312121E-2</c:v>
                </c:pt>
                <c:pt idx="16">
                  <c:v>5.6889523891958324E-2</c:v>
                </c:pt>
                <c:pt idx="17">
                  <c:v>5.4145184360018472E-2</c:v>
                </c:pt>
                <c:pt idx="18">
                  <c:v>5.5034205452132424E-2</c:v>
                </c:pt>
                <c:pt idx="19">
                  <c:v>5.1190304187712088E-2</c:v>
                </c:pt>
                <c:pt idx="20">
                  <c:v>6.0407720487399785E-2</c:v>
                </c:pt>
                <c:pt idx="21">
                  <c:v>4.5362416285931503E-2</c:v>
                </c:pt>
                <c:pt idx="22">
                  <c:v>5.6192788449393113E-2</c:v>
                </c:pt>
                <c:pt idx="23">
                  <c:v>6.2073966643226494E-2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BA-4401-83CD-11AED95A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8451200"/>
        <c:axId val="2058460320"/>
      </c:barChart>
      <c:catAx>
        <c:axId val="20584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60320"/>
        <c:crosses val="autoZero"/>
        <c:auto val="1"/>
        <c:lblAlgn val="ctr"/>
        <c:lblOffset val="100"/>
        <c:noMultiLvlLbl val="0"/>
      </c:catAx>
      <c:valAx>
        <c:axId val="20584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5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MAPE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Category'!$B$3</c:f>
              <c:strCache>
                <c:ptCount val="1"/>
                <c:pt idx="0">
                  <c:v>MAPE_Statistical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Category'!$A$4:$A$7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'Region Category'!$B$4:$B$7</c:f>
              <c:numCache>
                <c:formatCode>0.0%</c:formatCode>
                <c:ptCount val="4"/>
                <c:pt idx="0">
                  <c:v>0.11484512025477175</c:v>
                </c:pt>
                <c:pt idx="1">
                  <c:v>0.10991460535313001</c:v>
                </c:pt>
                <c:pt idx="2">
                  <c:v>0.11413236357516753</c:v>
                </c:pt>
                <c:pt idx="3">
                  <c:v>0.13018560736250367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7-40E3-BDAD-F2F198359CA4}"/>
            </c:ext>
          </c:extLst>
        </c:ser>
        <c:ser>
          <c:idx val="1"/>
          <c:order val="1"/>
          <c:tx>
            <c:strRef>
              <c:f>'Region Category'!$C$3</c:f>
              <c:strCache>
                <c:ptCount val="1"/>
                <c:pt idx="0">
                  <c:v>MAPE_Consensus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Category'!$A$4:$A$7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'Region Category'!$C$4:$C$7</c:f>
              <c:numCache>
                <c:formatCode>0.0%</c:formatCode>
                <c:ptCount val="4"/>
                <c:pt idx="0">
                  <c:v>4.4228044821467624E-2</c:v>
                </c:pt>
                <c:pt idx="1">
                  <c:v>4.4218366091088229E-2</c:v>
                </c:pt>
                <c:pt idx="2">
                  <c:v>4.4646174444341581E-2</c:v>
                </c:pt>
                <c:pt idx="3">
                  <c:v>4.0726182430154724E-2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7-40E3-BDAD-F2F198359CA4}"/>
            </c:ext>
          </c:extLst>
        </c:ser>
        <c:ser>
          <c:idx val="2"/>
          <c:order val="2"/>
          <c:tx>
            <c:strRef>
              <c:f>'Region Category'!$D$3</c:f>
              <c:strCache>
                <c:ptCount val="1"/>
                <c:pt idx="0">
                  <c:v>MAPE_Improved_Stat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Category'!$A$4:$A$7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LATAM</c:v>
                </c:pt>
                <c:pt idx="3">
                  <c:v>North America</c:v>
                </c:pt>
              </c:strCache>
            </c:strRef>
          </c:cat>
          <c:val>
            <c:numRef>
              <c:f>'Region Category'!$D$4:$D$7</c:f>
              <c:numCache>
                <c:formatCode>0.0%</c:formatCode>
                <c:ptCount val="4"/>
                <c:pt idx="0">
                  <c:v>5.5648125134377717E-2</c:v>
                </c:pt>
                <c:pt idx="1">
                  <c:v>4.8763850990555788E-2</c:v>
                </c:pt>
                <c:pt idx="2">
                  <c:v>5.8900977200342007E-2</c:v>
                </c:pt>
                <c:pt idx="3">
                  <c:v>5.2799064030616585E-2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97-40E3-BDAD-F2F198359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175680"/>
        <c:axId val="578087648"/>
      </c:barChart>
      <c:catAx>
        <c:axId val="6651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87648"/>
        <c:crosses val="autoZero"/>
        <c:auto val="1"/>
        <c:lblAlgn val="ctr"/>
        <c:lblOffset val="100"/>
        <c:noMultiLvlLbl val="0"/>
      </c:catAx>
      <c:valAx>
        <c:axId val="5780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1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MAPE</a:t>
            </a:r>
            <a:r>
              <a:rPr lang="en-IN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Category'!$B$10</c:f>
              <c:strCache>
                <c:ptCount val="1"/>
                <c:pt idx="0">
                  <c:v>MAPE_Statistical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Category'!$A$11:$A$15</c:f>
              <c:strCache>
                <c:ptCount val="5"/>
                <c:pt idx="0">
                  <c:v>Infusion Pumps</c:v>
                </c:pt>
                <c:pt idx="1">
                  <c:v>MRI Coils</c:v>
                </c:pt>
                <c:pt idx="2">
                  <c:v>Orthopedic Screws</c:v>
                </c:pt>
                <c:pt idx="3">
                  <c:v>Stents (Cardiac)</c:v>
                </c:pt>
                <c:pt idx="4">
                  <c:v>Surgical Lasers</c:v>
                </c:pt>
              </c:strCache>
            </c:strRef>
          </c:cat>
          <c:val>
            <c:numRef>
              <c:f>'Region Category'!$B$11:$B$15</c:f>
              <c:numCache>
                <c:formatCode>0.0%</c:formatCode>
                <c:ptCount val="5"/>
                <c:pt idx="0">
                  <c:v>0.120235754084702</c:v>
                </c:pt>
                <c:pt idx="1">
                  <c:v>0.10153131201770067</c:v>
                </c:pt>
                <c:pt idx="2">
                  <c:v>0.12735022635767593</c:v>
                </c:pt>
                <c:pt idx="3">
                  <c:v>0.11898944515637566</c:v>
                </c:pt>
                <c:pt idx="4">
                  <c:v>0.11824038306551161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D-4141-A467-C58659116718}"/>
            </c:ext>
          </c:extLst>
        </c:ser>
        <c:ser>
          <c:idx val="1"/>
          <c:order val="1"/>
          <c:tx>
            <c:strRef>
              <c:f>'Region Category'!$C$10</c:f>
              <c:strCache>
                <c:ptCount val="1"/>
                <c:pt idx="0">
                  <c:v>MAPE_Consensus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Category'!$A$11:$A$15</c:f>
              <c:strCache>
                <c:ptCount val="5"/>
                <c:pt idx="0">
                  <c:v>Infusion Pumps</c:v>
                </c:pt>
                <c:pt idx="1">
                  <c:v>MRI Coils</c:v>
                </c:pt>
                <c:pt idx="2">
                  <c:v>Orthopedic Screws</c:v>
                </c:pt>
                <c:pt idx="3">
                  <c:v>Stents (Cardiac)</c:v>
                </c:pt>
                <c:pt idx="4">
                  <c:v>Surgical Lasers</c:v>
                </c:pt>
              </c:strCache>
            </c:strRef>
          </c:cat>
          <c:val>
            <c:numRef>
              <c:f>'Region Category'!$C$11:$C$15</c:f>
              <c:numCache>
                <c:formatCode>0.0%</c:formatCode>
                <c:ptCount val="5"/>
                <c:pt idx="0">
                  <c:v>4.4418359676975071E-2</c:v>
                </c:pt>
                <c:pt idx="1">
                  <c:v>4.2292989444218797E-2</c:v>
                </c:pt>
                <c:pt idx="2">
                  <c:v>4.6823789506320455E-2</c:v>
                </c:pt>
                <c:pt idx="3">
                  <c:v>4.0651864259214215E-2</c:v>
                </c:pt>
                <c:pt idx="4">
                  <c:v>4.3086456847086667E-2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D-4141-A467-C58659116718}"/>
            </c:ext>
          </c:extLst>
        </c:ser>
        <c:ser>
          <c:idx val="2"/>
          <c:order val="2"/>
          <c:tx>
            <c:strRef>
              <c:f>'Region Category'!$D$10</c:f>
              <c:strCache>
                <c:ptCount val="1"/>
                <c:pt idx="0">
                  <c:v>MAPE_Improved_Stat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Category'!$A$11:$A$15</c:f>
              <c:strCache>
                <c:ptCount val="5"/>
                <c:pt idx="0">
                  <c:v>Infusion Pumps</c:v>
                </c:pt>
                <c:pt idx="1">
                  <c:v>MRI Coils</c:v>
                </c:pt>
                <c:pt idx="2">
                  <c:v>Orthopedic Screws</c:v>
                </c:pt>
                <c:pt idx="3">
                  <c:v>Stents (Cardiac)</c:v>
                </c:pt>
                <c:pt idx="4">
                  <c:v>Surgical Lasers</c:v>
                </c:pt>
              </c:strCache>
            </c:strRef>
          </c:cat>
          <c:val>
            <c:numRef>
              <c:f>'Region Category'!$D$11:$D$15</c:f>
              <c:numCache>
                <c:formatCode>0.0%</c:formatCode>
                <c:ptCount val="5"/>
                <c:pt idx="0">
                  <c:v>5.3655428896543872E-2</c:v>
                </c:pt>
                <c:pt idx="1">
                  <c:v>5.5921615438312422E-2</c:v>
                </c:pt>
                <c:pt idx="2">
                  <c:v>5.3821755885725943E-2</c:v>
                </c:pt>
                <c:pt idx="3">
                  <c:v>5.6042256906987269E-2</c:v>
                </c:pt>
                <c:pt idx="4">
                  <c:v>5.0698964567295592E-2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D-4141-A467-C58659116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849024"/>
        <c:axId val="1323850944"/>
      </c:barChart>
      <c:catAx>
        <c:axId val="13238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50944"/>
        <c:crosses val="autoZero"/>
        <c:auto val="1"/>
        <c:lblAlgn val="ctr"/>
        <c:lblOffset val="100"/>
        <c:noMultiLvlLbl val="0"/>
      </c:catAx>
      <c:valAx>
        <c:axId val="132385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SKU Volume Pareto (80/20)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SKU_Pareto!$C$3</c:f>
              <c:strCache>
                <c:ptCount val="1"/>
                <c:pt idx="0">
                  <c:v>Total_Actual_Sales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SKU_Pareto!$A$4:$A$13</c:f>
              <c:strCache>
                <c:ptCount val="10"/>
                <c:pt idx="0">
                  <c:v>SKU-IP-01</c:v>
                </c:pt>
                <c:pt idx="1">
                  <c:v>SKU-IP-02</c:v>
                </c:pt>
                <c:pt idx="2">
                  <c:v>SKU-MRI-01</c:v>
                </c:pt>
                <c:pt idx="3">
                  <c:v>SKU-MRI-02</c:v>
                </c:pt>
                <c:pt idx="4">
                  <c:v>SKU-OS-01</c:v>
                </c:pt>
                <c:pt idx="5">
                  <c:v>SKU-OS-02</c:v>
                </c:pt>
                <c:pt idx="6">
                  <c:v>SKU-SL-01</c:v>
                </c:pt>
                <c:pt idx="7">
                  <c:v>SKU-SL-02</c:v>
                </c:pt>
                <c:pt idx="8">
                  <c:v>SKU-ST-01</c:v>
                </c:pt>
                <c:pt idx="9">
                  <c:v>SKU-ST-02</c:v>
                </c:pt>
              </c:strCache>
            </c:strRef>
          </c:cat>
          <c:val>
            <c:numRef>
              <c:f>SKU_Pareto!$C$4:$C$13</c:f>
              <c:numCache>
                <c:formatCode>General</c:formatCode>
                <c:ptCount val="10"/>
                <c:pt idx="0">
                  <c:v>11860</c:v>
                </c:pt>
                <c:pt idx="1">
                  <c:v>12590</c:v>
                </c:pt>
                <c:pt idx="2">
                  <c:v>10863</c:v>
                </c:pt>
                <c:pt idx="3">
                  <c:v>10305</c:v>
                </c:pt>
                <c:pt idx="4">
                  <c:v>10825</c:v>
                </c:pt>
                <c:pt idx="5">
                  <c:v>10240</c:v>
                </c:pt>
                <c:pt idx="6">
                  <c:v>15322</c:v>
                </c:pt>
                <c:pt idx="7">
                  <c:v>9572</c:v>
                </c:pt>
                <c:pt idx="8">
                  <c:v>12475</c:v>
                </c:pt>
                <c:pt idx="9">
                  <c:v>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A-4E74-959E-0D9348925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113536"/>
        <c:axId val="659114496"/>
      </c:barChart>
      <c:lineChart>
        <c:grouping val="standard"/>
        <c:varyColors val="0"/>
        <c:ser>
          <c:idx val="1"/>
          <c:order val="1"/>
          <c:tx>
            <c:strRef>
              <c:f>SKU_Pareto!$E$3</c:f>
              <c:strCache>
                <c:ptCount val="1"/>
                <c:pt idx="0">
                  <c:v>Cumulative_%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SKU_Pareto!$A$4:$A$13</c:f>
              <c:strCache>
                <c:ptCount val="10"/>
                <c:pt idx="0">
                  <c:v>SKU-IP-01</c:v>
                </c:pt>
                <c:pt idx="1">
                  <c:v>SKU-IP-02</c:v>
                </c:pt>
                <c:pt idx="2">
                  <c:v>SKU-MRI-01</c:v>
                </c:pt>
                <c:pt idx="3">
                  <c:v>SKU-MRI-02</c:v>
                </c:pt>
                <c:pt idx="4">
                  <c:v>SKU-OS-01</c:v>
                </c:pt>
                <c:pt idx="5">
                  <c:v>SKU-OS-02</c:v>
                </c:pt>
                <c:pt idx="6">
                  <c:v>SKU-SL-01</c:v>
                </c:pt>
                <c:pt idx="7">
                  <c:v>SKU-SL-02</c:v>
                </c:pt>
                <c:pt idx="8">
                  <c:v>SKU-ST-01</c:v>
                </c:pt>
                <c:pt idx="9">
                  <c:v>SKU-ST-02</c:v>
                </c:pt>
              </c:strCache>
            </c:strRef>
          </c:cat>
          <c:val>
            <c:numRef>
              <c:f>SKU_Pareto!$E$4:$E$13</c:f>
              <c:numCache>
                <c:formatCode>0.0%</c:formatCode>
                <c:ptCount val="10"/>
                <c:pt idx="0">
                  <c:v>0.10586733555303632</c:v>
                </c:pt>
                <c:pt idx="1">
                  <c:v>0.21825095735849392</c:v>
                </c:pt>
                <c:pt idx="2">
                  <c:v>0.31521865264623705</c:v>
                </c:pt>
                <c:pt idx="3">
                  <c:v>0.40720540583966364</c:v>
                </c:pt>
                <c:pt idx="4">
                  <c:v>0.50383389718549987</c:v>
                </c:pt>
                <c:pt idx="5">
                  <c:v>0.59524043310987529</c:v>
                </c:pt>
                <c:pt idx="6">
                  <c:v>0.73201103305453152</c:v>
                </c:pt>
                <c:pt idx="7">
                  <c:v>0.81745472073696523</c:v>
                </c:pt>
                <c:pt idx="8">
                  <c:v>0.92881180429717836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A-4E74-959E-0D9348925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90720"/>
        <c:axId val="334090240"/>
      </c:lineChart>
      <c:catAx>
        <c:axId val="65911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114496"/>
        <c:crosses val="autoZero"/>
        <c:auto val="1"/>
        <c:lblAlgn val="ctr"/>
        <c:lblOffset val="100"/>
        <c:noMultiLvlLbl val="0"/>
      </c:catAx>
      <c:valAx>
        <c:axId val="6591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113536"/>
        <c:crosses val="autoZero"/>
        <c:crossBetween val="between"/>
      </c:valAx>
      <c:valAx>
        <c:axId val="33409024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90720"/>
        <c:crosses val="max"/>
        <c:crossBetween val="between"/>
      </c:valAx>
      <c:catAx>
        <c:axId val="334090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40902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835025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C8862-3F98-4E90-89B5-E291CB414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965201</xdr:colOff>
      <xdr:row>11</xdr:row>
      <xdr:rowOff>0</xdr:rowOff>
    </xdr:from>
    <xdr:to>
      <xdr:col>8</xdr:col>
      <xdr:colOff>431800</xdr:colOff>
      <xdr:row>23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DC17E9-E478-4E32-8C52-97EE0240A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495301</xdr:colOff>
      <xdr:row>11</xdr:row>
      <xdr:rowOff>0</xdr:rowOff>
    </xdr:from>
    <xdr:to>
      <xdr:col>16</xdr:col>
      <xdr:colOff>57151</xdr:colOff>
      <xdr:row>23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ABB6AB-FA92-400B-8D2E-FA833F76D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12700</xdr:colOff>
      <xdr:row>24</xdr:row>
      <xdr:rowOff>82550</xdr:rowOff>
    </xdr:from>
    <xdr:to>
      <xdr:col>3</xdr:col>
      <xdr:colOff>825500</xdr:colOff>
      <xdr:row>37</xdr:row>
      <xdr:rowOff>68118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A8C97-370E-403A-B5CE-B82B42ED1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38</xdr:row>
      <xdr:rowOff>10968</xdr:rowOff>
    </xdr:from>
    <xdr:to>
      <xdr:col>3</xdr:col>
      <xdr:colOff>819150</xdr:colOff>
      <xdr:row>51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4B1D69-A441-4236-8D28-34F895627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971551</xdr:colOff>
      <xdr:row>24</xdr:row>
      <xdr:rowOff>88900</xdr:rowOff>
    </xdr:from>
    <xdr:to>
      <xdr:col>8</xdr:col>
      <xdr:colOff>412750</xdr:colOff>
      <xdr:row>37</xdr:row>
      <xdr:rowOff>55418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18B528-6C5F-4B51-9A08-E0490751D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958851</xdr:colOff>
      <xdr:row>37</xdr:row>
      <xdr:rowOff>176068</xdr:rowOff>
    </xdr:from>
    <xdr:to>
      <xdr:col>8</xdr:col>
      <xdr:colOff>425450</xdr:colOff>
      <xdr:row>51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C47A64-609C-46E9-A2E6-89B2A900A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98425</xdr:colOff>
      <xdr:row>13</xdr:row>
      <xdr:rowOff>6350</xdr:rowOff>
    </xdr:from>
    <xdr:to>
      <xdr:col>15</xdr:col>
      <xdr:colOff>292100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3B9AC-D0B3-DA95-D927-0C8852657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24</xdr:row>
      <xdr:rowOff>158750</xdr:rowOff>
    </xdr:from>
    <xdr:to>
      <xdr:col>15</xdr:col>
      <xdr:colOff>317500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2398DF-65AA-DC41-7113-784F2C36D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358775</xdr:colOff>
      <xdr:row>13</xdr:row>
      <xdr:rowOff>12700</xdr:rowOff>
    </xdr:from>
    <xdr:to>
      <xdr:col>21</xdr:col>
      <xdr:colOff>596900</xdr:colOff>
      <xdr:row>24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AFB57B-D771-2A03-A120-B756282FC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358775</xdr:colOff>
      <xdr:row>24</xdr:row>
      <xdr:rowOff>165100</xdr:rowOff>
    </xdr:from>
    <xdr:to>
      <xdr:col>21</xdr:col>
      <xdr:colOff>596900</xdr:colOff>
      <xdr:row>38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4B0C8E-A503-1D85-2392-D5B05F40F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82551</xdr:colOff>
      <xdr:row>41</xdr:row>
      <xdr:rowOff>12700</xdr:rowOff>
    </xdr:from>
    <xdr:to>
      <xdr:col>15</xdr:col>
      <xdr:colOff>330200</xdr:colOff>
      <xdr:row>51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A69651-E72A-26AA-10F2-F345B23AE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85725</xdr:colOff>
      <xdr:row>51</xdr:row>
      <xdr:rowOff>25400</xdr:rowOff>
    </xdr:from>
    <xdr:to>
      <xdr:col>15</xdr:col>
      <xdr:colOff>336550</xdr:colOff>
      <xdr:row>66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1630C6-2D53-E02B-3A2E-8935346DB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371475</xdr:colOff>
      <xdr:row>41</xdr:row>
      <xdr:rowOff>12700</xdr:rowOff>
    </xdr:from>
    <xdr:to>
      <xdr:col>21</xdr:col>
      <xdr:colOff>603250</xdr:colOff>
      <xdr:row>51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139207-C131-A4BB-7CC1-60085C924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377825</xdr:colOff>
      <xdr:row>51</xdr:row>
      <xdr:rowOff>25400</xdr:rowOff>
    </xdr:from>
    <xdr:to>
      <xdr:col>22</xdr:col>
      <xdr:colOff>19050</xdr:colOff>
      <xdr:row>66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6099D7-F4F0-3766-584F-3CA6E0D09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473075</xdr:colOff>
      <xdr:row>1</xdr:row>
      <xdr:rowOff>177800</xdr:rowOff>
    </xdr:from>
    <xdr:to>
      <xdr:col>15</xdr:col>
      <xdr:colOff>168275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5BAC9-6FF3-F310-E90F-EFA6B6A46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2</xdr:row>
      <xdr:rowOff>12700</xdr:rowOff>
    </xdr:from>
    <xdr:to>
      <xdr:col>11</xdr:col>
      <xdr:colOff>488950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7BC5D-1882-A654-2408-D5280A73A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581025</xdr:colOff>
      <xdr:row>2</xdr:row>
      <xdr:rowOff>6350</xdr:rowOff>
    </xdr:from>
    <xdr:to>
      <xdr:col>19</xdr:col>
      <xdr:colOff>12700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2C2D45-AF36-4A9F-67E9-32924606A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15874</xdr:colOff>
      <xdr:row>14</xdr:row>
      <xdr:rowOff>6350</xdr:rowOff>
    </xdr:from>
    <xdr:to>
      <xdr:col>5</xdr:col>
      <xdr:colOff>12699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88FD0-C053-76A3-DFE1-7481AD328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1.743438310186" createdVersion="8" refreshedVersion="8" minRefreshableVersion="3" recordCount="960" xr:uid="{0C8B5D02-E2B2-427B-BB86-F47BF821838D}">
  <cacheSource type="worksheet">
    <worksheetSource ref="A1:P961" sheet="Calculations"/>
  </cacheSource>
  <cacheFields count="16">
    <cacheField name="SKU" numFmtId="0">
      <sharedItems count="10">
        <s v="SKU-OS-01"/>
        <s v="SKU-OS-02"/>
        <s v="SKU-IP-01"/>
        <s v="SKU-IP-02"/>
        <s v="SKU-SL-01"/>
        <s v="SKU-SL-02"/>
        <s v="SKU-MRI-01"/>
        <s v="SKU-MRI-02"/>
        <s v="SKU-ST-01"/>
        <s v="SKU-ST-02"/>
      </sharedItems>
    </cacheField>
    <cacheField name="Category" numFmtId="0">
      <sharedItems count="5">
        <s v="Orthopedic Screws"/>
        <s v="Infusion Pumps"/>
        <s v="Surgical Lasers"/>
        <s v="MRI Coils"/>
        <s v="Stents (Cardiac)"/>
      </sharedItems>
    </cacheField>
    <cacheField name="Region" numFmtId="0">
      <sharedItems count="4">
        <s v="APAC"/>
        <s v="EMEA"/>
        <s v="LATAM"/>
        <s v="North America"/>
      </sharedItems>
    </cacheField>
    <cacheField name="Month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Actual_Sales" numFmtId="0">
      <sharedItems containsSemiMixedTypes="0" containsString="0" containsNumber="1" containsInteger="1" minValue="19" maxValue="255" count="207">
        <n v="147"/>
        <n v="161"/>
        <n v="104"/>
        <n v="94"/>
        <n v="166"/>
        <n v="164"/>
        <n v="126"/>
        <n v="145"/>
        <n v="125"/>
        <n v="112"/>
        <n v="71"/>
        <n v="168"/>
        <n v="135"/>
        <n v="162"/>
        <n v="158"/>
        <n v="87"/>
        <n v="139"/>
        <n v="172"/>
        <n v="131"/>
        <n v="114"/>
        <n v="122"/>
        <n v="74"/>
        <n v="144"/>
        <n v="121"/>
        <n v="127"/>
        <n v="111"/>
        <n v="82"/>
        <n v="93"/>
        <n v="100"/>
        <n v="102"/>
        <n v="140"/>
        <n v="117"/>
        <n v="118"/>
        <n v="137"/>
        <n v="47"/>
        <n v="88"/>
        <n v="92"/>
        <n v="107"/>
        <n v="97"/>
        <n v="73"/>
        <n v="79"/>
        <n v="78"/>
        <n v="72"/>
        <n v="70"/>
        <n v="32"/>
        <n v="55"/>
        <n v="66"/>
        <n v="54"/>
        <n v="41"/>
        <n v="60"/>
        <n v="84"/>
        <n v="95"/>
        <n v="65"/>
        <n v="64"/>
        <n v="57"/>
        <n v="59"/>
        <n v="186"/>
        <n v="159"/>
        <n v="189"/>
        <n v="133"/>
        <n v="171"/>
        <n v="151"/>
        <n v="134"/>
        <n v="152"/>
        <n v="169"/>
        <n v="160"/>
        <n v="98"/>
        <n v="179"/>
        <n v="115"/>
        <n v="109"/>
        <n v="42"/>
        <n v="89"/>
        <n v="36"/>
        <n v="146"/>
        <n v="99"/>
        <n v="113"/>
        <n v="157"/>
        <n v="138"/>
        <n v="119"/>
        <n v="106"/>
        <n v="108"/>
        <n v="68"/>
        <n v="96"/>
        <n v="136"/>
        <n v="120"/>
        <n v="103"/>
        <n v="130"/>
        <n v="116"/>
        <n v="80"/>
        <n v="63"/>
        <n v="83"/>
        <n v="85"/>
        <n v="110"/>
        <n v="77"/>
        <n v="75"/>
        <n v="67"/>
        <n v="31"/>
        <n v="56"/>
        <n v="43"/>
        <n v="30"/>
        <n v="50"/>
        <n v="58"/>
        <n v="76"/>
        <n v="53"/>
        <n v="24"/>
        <n v="208"/>
        <n v="225"/>
        <n v="217"/>
        <n v="204"/>
        <n v="212"/>
        <n v="181"/>
        <n v="129"/>
        <n v="195"/>
        <n v="150"/>
        <n v="141"/>
        <n v="205"/>
        <n v="211"/>
        <n v="210"/>
        <n v="170"/>
        <n v="192"/>
        <n v="86"/>
        <n v="52"/>
        <n v="105"/>
        <n v="44"/>
        <n v="253"/>
        <n v="251"/>
        <n v="193"/>
        <n v="222"/>
        <n v="233"/>
        <n v="202"/>
        <n v="227"/>
        <n v="218"/>
        <n v="163"/>
        <n v="174"/>
        <n v="48"/>
        <n v="91"/>
        <n v="49"/>
        <n v="175"/>
        <n v="220"/>
        <n v="201"/>
        <n v="188"/>
        <n v="142"/>
        <n v="177"/>
        <n v="209"/>
        <n v="123"/>
        <n v="153"/>
        <n v="238"/>
        <n v="198"/>
        <n v="156"/>
        <n v="216"/>
        <n v="185"/>
        <n v="149"/>
        <n v="165"/>
        <n v="132"/>
        <n v="148"/>
        <n v="143"/>
        <n v="128"/>
        <n v="90"/>
        <n v="61"/>
        <n v="62"/>
        <n v="190"/>
        <n v="167"/>
        <n v="178"/>
        <n v="183"/>
        <n v="194"/>
        <n v="239"/>
        <n v="206"/>
        <n v="176"/>
        <n v="247"/>
        <n v="243"/>
        <n v="255"/>
        <n v="173"/>
        <n v="207"/>
        <n v="191"/>
        <n v="196"/>
        <n v="154"/>
        <n v="184"/>
        <n v="228"/>
        <n v="51"/>
        <n v="237"/>
        <n v="232"/>
        <n v="101"/>
        <n v="187"/>
        <n v="252"/>
        <n v="236"/>
        <n v="40"/>
        <n v="124"/>
        <n v="38"/>
        <n v="81"/>
        <n v="27"/>
        <n v="28"/>
        <n v="182"/>
        <n v="199"/>
        <n v="155"/>
        <n v="29"/>
        <n v="26"/>
        <n v="35"/>
        <n v="69"/>
        <n v="46"/>
        <n v="37"/>
        <n v="213"/>
        <n v="224"/>
        <n v="235"/>
        <n v="214"/>
        <n v="39"/>
        <n v="19"/>
        <n v="45"/>
      </sharedItems>
    </cacheField>
    <cacheField name="Statistical_Forecast" numFmtId="0">
      <sharedItems containsSemiMixedTypes="0" containsString="0" containsNumber="1" containsInteger="1" minValue="18" maxValue="299"/>
    </cacheField>
    <cacheField name="Consensus_Forecast" numFmtId="0">
      <sharedItems containsSemiMixedTypes="0" containsString="0" containsNumber="1" containsInteger="1" minValue="18" maxValue="266"/>
    </cacheField>
    <cacheField name="Promotion_Flag" numFmtId="0">
      <sharedItems containsSemiMixedTypes="0" containsString="0" containsNumber="1" containsInteger="1" minValue="0" maxValue="1" count="2">
        <n v="0"/>
        <n v="1"/>
      </sharedItems>
    </cacheField>
    <cacheField name="Stockout_Flag" numFmtId="0">
      <sharedItems containsSemiMixedTypes="0" containsString="0" containsNumber="1" containsInteger="1" minValue="0" maxValue="1" count="2">
        <n v="0"/>
        <n v="1"/>
      </sharedItems>
    </cacheField>
    <cacheField name="Stat_AbsErr" numFmtId="0">
      <sharedItems containsSemiMixedTypes="0" containsString="0" containsNumber="1" containsInteger="1" minValue="0" maxValue="76"/>
    </cacheField>
    <cacheField name="Stat_APE" numFmtId="10">
      <sharedItems containsSemiMixedTypes="0" containsString="0" containsNumber="1" minValue="0" maxValue="0.44186046511627908"/>
    </cacheField>
    <cacheField name="Cons_AbsErr" numFmtId="0">
      <sharedItems containsSemiMixedTypes="0" containsString="0" containsNumber="1" containsInteger="1" minValue="0" maxValue="36"/>
    </cacheField>
    <cacheField name="Cons_APE" numFmtId="10">
      <sharedItems containsSemiMixedTypes="0" containsString="0" containsNumber="1" minValue="0" maxValue="0.18556701030927836"/>
    </cacheField>
    <cacheField name="Improved_Stat_Forecast" numFmtId="0">
      <sharedItems containsNonDate="0" containsString="0" containsBlank="1" count="1">
        <m/>
      </sharedItems>
    </cacheField>
    <cacheField name="ImpStat_AbsErr" numFmtId="0">
      <sharedItems containsNonDate="0" containsString="0" containsBlank="1"/>
    </cacheField>
    <cacheField name="ImpStat_AP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x v="0"/>
    <x v="0"/>
    <x v="0"/>
    <x v="0"/>
    <x v="0"/>
    <n v="198"/>
    <n v="146"/>
    <x v="0"/>
    <x v="0"/>
    <n v="51"/>
    <n v="0.34693877551020408"/>
    <n v="1"/>
    <n v="6.8027210884353739E-3"/>
    <x v="0"/>
    <m/>
    <m/>
  </r>
  <r>
    <x v="0"/>
    <x v="0"/>
    <x v="0"/>
    <x v="1"/>
    <x v="1"/>
    <n v="175"/>
    <n v="162"/>
    <x v="0"/>
    <x v="0"/>
    <n v="14"/>
    <n v="8.6956521739130432E-2"/>
    <n v="1"/>
    <n v="6.2111801242236021E-3"/>
    <x v="0"/>
    <m/>
    <m/>
  </r>
  <r>
    <x v="0"/>
    <x v="0"/>
    <x v="0"/>
    <x v="2"/>
    <x v="2"/>
    <n v="134"/>
    <n v="91"/>
    <x v="0"/>
    <x v="1"/>
    <n v="30"/>
    <n v="0.28846153846153844"/>
    <n v="13"/>
    <n v="0.125"/>
    <x v="0"/>
    <m/>
    <m/>
  </r>
  <r>
    <x v="0"/>
    <x v="0"/>
    <x v="0"/>
    <x v="3"/>
    <x v="3"/>
    <n v="104"/>
    <n v="93"/>
    <x v="0"/>
    <x v="1"/>
    <n v="10"/>
    <n v="0.10638297872340426"/>
    <n v="1"/>
    <n v="1.0638297872340425E-2"/>
    <x v="0"/>
    <m/>
    <m/>
  </r>
  <r>
    <x v="0"/>
    <x v="0"/>
    <x v="0"/>
    <x v="4"/>
    <x v="4"/>
    <n v="194"/>
    <n v="169"/>
    <x v="0"/>
    <x v="0"/>
    <n v="28"/>
    <n v="0.16867469879518071"/>
    <n v="3"/>
    <n v="1.8072289156626505E-2"/>
    <x v="0"/>
    <m/>
    <m/>
  </r>
  <r>
    <x v="0"/>
    <x v="0"/>
    <x v="0"/>
    <x v="5"/>
    <x v="5"/>
    <n v="188"/>
    <n v="169"/>
    <x v="0"/>
    <x v="0"/>
    <n v="24"/>
    <n v="0.14634146341463414"/>
    <n v="5"/>
    <n v="3.048780487804878E-2"/>
    <x v="0"/>
    <m/>
    <m/>
  </r>
  <r>
    <x v="0"/>
    <x v="0"/>
    <x v="0"/>
    <x v="6"/>
    <x v="6"/>
    <n v="133"/>
    <n v="131"/>
    <x v="0"/>
    <x v="0"/>
    <n v="7"/>
    <n v="5.5555555555555552E-2"/>
    <n v="5"/>
    <n v="3.968253968253968E-2"/>
    <x v="0"/>
    <m/>
    <m/>
  </r>
  <r>
    <x v="0"/>
    <x v="0"/>
    <x v="0"/>
    <x v="7"/>
    <x v="7"/>
    <n v="147"/>
    <n v="142"/>
    <x v="1"/>
    <x v="0"/>
    <n v="2"/>
    <n v="1.3793103448275862E-2"/>
    <n v="3"/>
    <n v="2.0689655172413793E-2"/>
    <x v="0"/>
    <m/>
    <m/>
  </r>
  <r>
    <x v="0"/>
    <x v="0"/>
    <x v="0"/>
    <x v="8"/>
    <x v="8"/>
    <n v="124"/>
    <n v="111"/>
    <x v="1"/>
    <x v="0"/>
    <n v="1"/>
    <n v="8.0000000000000002E-3"/>
    <n v="14"/>
    <n v="0.112"/>
    <x v="0"/>
    <m/>
    <m/>
  </r>
  <r>
    <x v="0"/>
    <x v="0"/>
    <x v="0"/>
    <x v="9"/>
    <x v="9"/>
    <n v="135"/>
    <n v="101"/>
    <x v="1"/>
    <x v="0"/>
    <n v="23"/>
    <n v="0.20535714285714285"/>
    <n v="11"/>
    <n v="9.8214285714285712E-2"/>
    <x v="0"/>
    <m/>
    <m/>
  </r>
  <r>
    <x v="0"/>
    <x v="0"/>
    <x v="0"/>
    <x v="10"/>
    <x v="10"/>
    <n v="85"/>
    <n v="79"/>
    <x v="0"/>
    <x v="1"/>
    <n v="14"/>
    <n v="0.19718309859154928"/>
    <n v="8"/>
    <n v="0.11267605633802817"/>
    <x v="0"/>
    <m/>
    <m/>
  </r>
  <r>
    <x v="0"/>
    <x v="0"/>
    <x v="0"/>
    <x v="11"/>
    <x v="11"/>
    <n v="175"/>
    <n v="159"/>
    <x v="1"/>
    <x v="0"/>
    <n v="7"/>
    <n v="4.1666666666666664E-2"/>
    <n v="9"/>
    <n v="5.3571428571428568E-2"/>
    <x v="0"/>
    <m/>
    <m/>
  </r>
  <r>
    <x v="0"/>
    <x v="0"/>
    <x v="0"/>
    <x v="12"/>
    <x v="12"/>
    <n v="135"/>
    <n v="139"/>
    <x v="0"/>
    <x v="0"/>
    <n v="0"/>
    <n v="0"/>
    <n v="4"/>
    <n v="2.9629629629629631E-2"/>
    <x v="0"/>
    <m/>
    <m/>
  </r>
  <r>
    <x v="0"/>
    <x v="0"/>
    <x v="0"/>
    <x v="13"/>
    <x v="13"/>
    <n v="187"/>
    <n v="166"/>
    <x v="1"/>
    <x v="0"/>
    <n v="25"/>
    <n v="0.15432098765432098"/>
    <n v="4"/>
    <n v="2.4691358024691357E-2"/>
    <x v="0"/>
    <m/>
    <m/>
  </r>
  <r>
    <x v="0"/>
    <x v="0"/>
    <x v="0"/>
    <x v="14"/>
    <x v="4"/>
    <n v="187"/>
    <n v="178"/>
    <x v="1"/>
    <x v="0"/>
    <n v="21"/>
    <n v="0.12650602409638553"/>
    <n v="12"/>
    <n v="7.2289156626506021E-2"/>
    <x v="0"/>
    <m/>
    <m/>
  </r>
  <r>
    <x v="0"/>
    <x v="0"/>
    <x v="0"/>
    <x v="15"/>
    <x v="14"/>
    <n v="187"/>
    <n v="144"/>
    <x v="0"/>
    <x v="0"/>
    <n v="29"/>
    <n v="0.18354430379746836"/>
    <n v="14"/>
    <n v="8.8607594936708861E-2"/>
    <x v="0"/>
    <m/>
    <m/>
  </r>
  <r>
    <x v="0"/>
    <x v="0"/>
    <x v="0"/>
    <x v="16"/>
    <x v="15"/>
    <n v="105"/>
    <n v="83"/>
    <x v="0"/>
    <x v="1"/>
    <n v="18"/>
    <n v="0.20689655172413793"/>
    <n v="4"/>
    <n v="4.5977011494252873E-2"/>
    <x v="0"/>
    <m/>
    <m/>
  </r>
  <r>
    <x v="0"/>
    <x v="0"/>
    <x v="0"/>
    <x v="17"/>
    <x v="16"/>
    <n v="156"/>
    <n v="132"/>
    <x v="0"/>
    <x v="0"/>
    <n v="17"/>
    <n v="0.1223021582733813"/>
    <n v="7"/>
    <n v="5.0359712230215826E-2"/>
    <x v="0"/>
    <m/>
    <m/>
  </r>
  <r>
    <x v="0"/>
    <x v="0"/>
    <x v="0"/>
    <x v="18"/>
    <x v="17"/>
    <n v="178"/>
    <n v="165"/>
    <x v="0"/>
    <x v="0"/>
    <n v="6"/>
    <n v="3.4883720930232558E-2"/>
    <n v="7"/>
    <n v="4.0697674418604654E-2"/>
    <x v="0"/>
    <m/>
    <m/>
  </r>
  <r>
    <x v="0"/>
    <x v="0"/>
    <x v="0"/>
    <x v="19"/>
    <x v="18"/>
    <n v="170"/>
    <n v="136"/>
    <x v="0"/>
    <x v="0"/>
    <n v="39"/>
    <n v="0.29770992366412213"/>
    <n v="5"/>
    <n v="3.8167938931297711E-2"/>
    <x v="0"/>
    <m/>
    <m/>
  </r>
  <r>
    <x v="0"/>
    <x v="0"/>
    <x v="0"/>
    <x v="20"/>
    <x v="19"/>
    <n v="126"/>
    <n v="105"/>
    <x v="1"/>
    <x v="0"/>
    <n v="12"/>
    <n v="0.10526315789473684"/>
    <n v="9"/>
    <n v="7.8947368421052627E-2"/>
    <x v="0"/>
    <m/>
    <m/>
  </r>
  <r>
    <x v="0"/>
    <x v="0"/>
    <x v="0"/>
    <x v="21"/>
    <x v="20"/>
    <n v="129"/>
    <n v="119"/>
    <x v="0"/>
    <x v="0"/>
    <n v="7"/>
    <n v="5.737704918032787E-2"/>
    <n v="3"/>
    <n v="2.4590163934426229E-2"/>
    <x v="0"/>
    <m/>
    <m/>
  </r>
  <r>
    <x v="0"/>
    <x v="0"/>
    <x v="0"/>
    <x v="22"/>
    <x v="21"/>
    <n v="74"/>
    <n v="70"/>
    <x v="0"/>
    <x v="1"/>
    <n v="0"/>
    <n v="0"/>
    <n v="4"/>
    <n v="5.4054054054054057E-2"/>
    <x v="0"/>
    <m/>
    <m/>
  </r>
  <r>
    <x v="0"/>
    <x v="0"/>
    <x v="0"/>
    <x v="23"/>
    <x v="22"/>
    <n v="148"/>
    <n v="150"/>
    <x v="0"/>
    <x v="0"/>
    <n v="4"/>
    <n v="2.7777777777777776E-2"/>
    <n v="6"/>
    <n v="4.1666666666666664E-2"/>
    <x v="0"/>
    <m/>
    <m/>
  </r>
  <r>
    <x v="0"/>
    <x v="0"/>
    <x v="1"/>
    <x v="0"/>
    <x v="23"/>
    <n v="119"/>
    <n v="109"/>
    <x v="0"/>
    <x v="0"/>
    <n v="2"/>
    <n v="1.6528925619834711E-2"/>
    <n v="12"/>
    <n v="9.9173553719008267E-2"/>
    <x v="0"/>
    <m/>
    <m/>
  </r>
  <r>
    <x v="0"/>
    <x v="0"/>
    <x v="1"/>
    <x v="1"/>
    <x v="6"/>
    <n v="126"/>
    <n v="141"/>
    <x v="0"/>
    <x v="0"/>
    <n v="0"/>
    <n v="0"/>
    <n v="15"/>
    <n v="0.11904761904761904"/>
    <x v="0"/>
    <m/>
    <m/>
  </r>
  <r>
    <x v="0"/>
    <x v="0"/>
    <x v="1"/>
    <x v="2"/>
    <x v="24"/>
    <n v="130"/>
    <n v="126"/>
    <x v="0"/>
    <x v="0"/>
    <n v="3"/>
    <n v="2.3622047244094488E-2"/>
    <n v="1"/>
    <n v="7.874015748031496E-3"/>
    <x v="0"/>
    <m/>
    <m/>
  </r>
  <r>
    <x v="0"/>
    <x v="0"/>
    <x v="1"/>
    <x v="3"/>
    <x v="25"/>
    <n v="123"/>
    <n v="115"/>
    <x v="1"/>
    <x v="0"/>
    <n v="12"/>
    <n v="0.10810810810810811"/>
    <n v="4"/>
    <n v="3.6036036036036036E-2"/>
    <x v="0"/>
    <m/>
    <m/>
  </r>
  <r>
    <x v="0"/>
    <x v="0"/>
    <x v="1"/>
    <x v="4"/>
    <x v="12"/>
    <n v="115"/>
    <n v="138"/>
    <x v="0"/>
    <x v="0"/>
    <n v="20"/>
    <n v="0.14814814814814814"/>
    <n v="3"/>
    <n v="2.2222222222222223E-2"/>
    <x v="0"/>
    <m/>
    <m/>
  </r>
  <r>
    <x v="0"/>
    <x v="0"/>
    <x v="1"/>
    <x v="5"/>
    <x v="18"/>
    <n v="117"/>
    <n v="127"/>
    <x v="0"/>
    <x v="0"/>
    <n v="14"/>
    <n v="0.10687022900763359"/>
    <n v="4"/>
    <n v="3.0534351145038167E-2"/>
    <x v="0"/>
    <m/>
    <m/>
  </r>
  <r>
    <x v="0"/>
    <x v="0"/>
    <x v="1"/>
    <x v="6"/>
    <x v="26"/>
    <n v="82"/>
    <n v="77"/>
    <x v="0"/>
    <x v="0"/>
    <n v="0"/>
    <n v="0"/>
    <n v="5"/>
    <n v="6.097560975609756E-2"/>
    <x v="0"/>
    <m/>
    <m/>
  </r>
  <r>
    <x v="0"/>
    <x v="0"/>
    <x v="1"/>
    <x v="7"/>
    <x v="27"/>
    <n v="85"/>
    <n v="91"/>
    <x v="0"/>
    <x v="0"/>
    <n v="8"/>
    <n v="8.6021505376344093E-2"/>
    <n v="2"/>
    <n v="2.1505376344086023E-2"/>
    <x v="0"/>
    <m/>
    <m/>
  </r>
  <r>
    <x v="0"/>
    <x v="0"/>
    <x v="1"/>
    <x v="8"/>
    <x v="27"/>
    <n v="81"/>
    <n v="94"/>
    <x v="1"/>
    <x v="0"/>
    <n v="12"/>
    <n v="0.12903225806451613"/>
    <n v="1"/>
    <n v="1.0752688172043012E-2"/>
    <x v="0"/>
    <m/>
    <m/>
  </r>
  <r>
    <x v="0"/>
    <x v="0"/>
    <x v="1"/>
    <x v="9"/>
    <x v="28"/>
    <n v="102"/>
    <n v="103"/>
    <x v="0"/>
    <x v="0"/>
    <n v="2"/>
    <n v="0.02"/>
    <n v="3"/>
    <n v="0.03"/>
    <x v="0"/>
    <m/>
    <m/>
  </r>
  <r>
    <x v="0"/>
    <x v="0"/>
    <x v="1"/>
    <x v="10"/>
    <x v="29"/>
    <n v="104"/>
    <n v="103"/>
    <x v="0"/>
    <x v="0"/>
    <n v="2"/>
    <n v="1.9607843137254902E-2"/>
    <n v="1"/>
    <n v="9.8039215686274508E-3"/>
    <x v="0"/>
    <m/>
    <m/>
  </r>
  <r>
    <x v="0"/>
    <x v="0"/>
    <x v="1"/>
    <x v="11"/>
    <x v="25"/>
    <n v="113"/>
    <n v="107"/>
    <x v="0"/>
    <x v="0"/>
    <n v="2"/>
    <n v="1.8018018018018018E-2"/>
    <n v="4"/>
    <n v="3.6036036036036036E-2"/>
    <x v="0"/>
    <m/>
    <m/>
  </r>
  <r>
    <x v="0"/>
    <x v="0"/>
    <x v="1"/>
    <x v="12"/>
    <x v="30"/>
    <n v="146"/>
    <n v="131"/>
    <x v="0"/>
    <x v="0"/>
    <n v="6"/>
    <n v="4.2857142857142858E-2"/>
    <n v="9"/>
    <n v="6.4285714285714279E-2"/>
    <x v="0"/>
    <m/>
    <m/>
  </r>
  <r>
    <x v="0"/>
    <x v="0"/>
    <x v="1"/>
    <x v="13"/>
    <x v="12"/>
    <n v="150"/>
    <n v="129"/>
    <x v="0"/>
    <x v="0"/>
    <n v="15"/>
    <n v="0.1111111111111111"/>
    <n v="6"/>
    <n v="4.4444444444444446E-2"/>
    <x v="0"/>
    <m/>
    <m/>
  </r>
  <r>
    <x v="0"/>
    <x v="0"/>
    <x v="1"/>
    <x v="14"/>
    <x v="30"/>
    <n v="166"/>
    <n v="138"/>
    <x v="0"/>
    <x v="0"/>
    <n v="26"/>
    <n v="0.18571428571428572"/>
    <n v="2"/>
    <n v="1.4285714285714285E-2"/>
    <x v="0"/>
    <m/>
    <m/>
  </r>
  <r>
    <x v="0"/>
    <x v="0"/>
    <x v="1"/>
    <x v="15"/>
    <x v="31"/>
    <n v="115"/>
    <n v="118"/>
    <x v="0"/>
    <x v="0"/>
    <n v="2"/>
    <n v="1.7094017094017096E-2"/>
    <n v="1"/>
    <n v="8.5470085470085479E-3"/>
    <x v="0"/>
    <m/>
    <m/>
  </r>
  <r>
    <x v="0"/>
    <x v="0"/>
    <x v="1"/>
    <x v="16"/>
    <x v="32"/>
    <n v="134"/>
    <n v="116"/>
    <x v="1"/>
    <x v="0"/>
    <n v="16"/>
    <n v="0.13559322033898305"/>
    <n v="2"/>
    <n v="1.6949152542372881E-2"/>
    <x v="0"/>
    <m/>
    <m/>
  </r>
  <r>
    <x v="0"/>
    <x v="0"/>
    <x v="1"/>
    <x v="17"/>
    <x v="33"/>
    <n v="121"/>
    <n v="140"/>
    <x v="0"/>
    <x v="0"/>
    <n v="16"/>
    <n v="0.11678832116788321"/>
    <n v="3"/>
    <n v="2.1897810218978103E-2"/>
    <x v="0"/>
    <m/>
    <m/>
  </r>
  <r>
    <x v="0"/>
    <x v="0"/>
    <x v="1"/>
    <x v="18"/>
    <x v="34"/>
    <n v="50"/>
    <n v="48"/>
    <x v="1"/>
    <x v="1"/>
    <n v="3"/>
    <n v="6.3829787234042548E-2"/>
    <n v="1"/>
    <n v="2.1276595744680851E-2"/>
    <x v="0"/>
    <m/>
    <m/>
  </r>
  <r>
    <x v="0"/>
    <x v="0"/>
    <x v="1"/>
    <x v="19"/>
    <x v="35"/>
    <n v="80"/>
    <n v="81"/>
    <x v="1"/>
    <x v="0"/>
    <n v="8"/>
    <n v="9.0909090909090912E-2"/>
    <n v="7"/>
    <n v="7.9545454545454544E-2"/>
    <x v="0"/>
    <m/>
    <m/>
  </r>
  <r>
    <x v="0"/>
    <x v="0"/>
    <x v="1"/>
    <x v="20"/>
    <x v="35"/>
    <n v="76"/>
    <n v="88"/>
    <x v="1"/>
    <x v="0"/>
    <n v="12"/>
    <n v="0.13636363636363635"/>
    <n v="0"/>
    <n v="0"/>
    <x v="0"/>
    <m/>
    <m/>
  </r>
  <r>
    <x v="0"/>
    <x v="0"/>
    <x v="1"/>
    <x v="21"/>
    <x v="36"/>
    <n v="92"/>
    <n v="86"/>
    <x v="0"/>
    <x v="0"/>
    <n v="0"/>
    <n v="0"/>
    <n v="6"/>
    <n v="6.5217391304347824E-2"/>
    <x v="0"/>
    <m/>
    <m/>
  </r>
  <r>
    <x v="0"/>
    <x v="0"/>
    <x v="1"/>
    <x v="22"/>
    <x v="37"/>
    <n v="117"/>
    <n v="99"/>
    <x v="1"/>
    <x v="0"/>
    <n v="10"/>
    <n v="9.3457943925233641E-2"/>
    <n v="8"/>
    <n v="7.476635514018691E-2"/>
    <x v="0"/>
    <m/>
    <m/>
  </r>
  <r>
    <x v="0"/>
    <x v="0"/>
    <x v="1"/>
    <x v="23"/>
    <x v="38"/>
    <n v="101"/>
    <n v="115"/>
    <x v="1"/>
    <x v="0"/>
    <n v="4"/>
    <n v="4.1237113402061855E-2"/>
    <n v="18"/>
    <n v="0.18556701030927836"/>
    <x v="0"/>
    <m/>
    <m/>
  </r>
  <r>
    <x v="0"/>
    <x v="0"/>
    <x v="2"/>
    <x v="0"/>
    <x v="39"/>
    <n v="85"/>
    <n v="70"/>
    <x v="0"/>
    <x v="0"/>
    <n v="12"/>
    <n v="0.16438356164383561"/>
    <n v="3"/>
    <n v="4.1095890410958902E-2"/>
    <x v="0"/>
    <m/>
    <m/>
  </r>
  <r>
    <x v="0"/>
    <x v="0"/>
    <x v="2"/>
    <x v="1"/>
    <x v="40"/>
    <n v="104"/>
    <n v="71"/>
    <x v="0"/>
    <x v="0"/>
    <n v="25"/>
    <n v="0.31645569620253167"/>
    <n v="8"/>
    <n v="0.10126582278481013"/>
    <x v="0"/>
    <m/>
    <m/>
  </r>
  <r>
    <x v="0"/>
    <x v="0"/>
    <x v="2"/>
    <x v="2"/>
    <x v="41"/>
    <n v="93"/>
    <n v="78"/>
    <x v="0"/>
    <x v="0"/>
    <n v="15"/>
    <n v="0.19230769230769232"/>
    <n v="0"/>
    <n v="0"/>
    <x v="0"/>
    <m/>
    <m/>
  </r>
  <r>
    <x v="0"/>
    <x v="0"/>
    <x v="2"/>
    <x v="3"/>
    <x v="42"/>
    <n v="73"/>
    <n v="72"/>
    <x v="1"/>
    <x v="0"/>
    <n v="1"/>
    <n v="1.3888888888888888E-2"/>
    <n v="0"/>
    <n v="0"/>
    <x v="0"/>
    <m/>
    <m/>
  </r>
  <r>
    <x v="0"/>
    <x v="0"/>
    <x v="2"/>
    <x v="4"/>
    <x v="36"/>
    <n v="106"/>
    <n v="82"/>
    <x v="0"/>
    <x v="0"/>
    <n v="14"/>
    <n v="0.15217391304347827"/>
    <n v="10"/>
    <n v="0.10869565217391304"/>
    <x v="0"/>
    <m/>
    <m/>
  </r>
  <r>
    <x v="0"/>
    <x v="0"/>
    <x v="2"/>
    <x v="5"/>
    <x v="43"/>
    <n v="71"/>
    <n v="69"/>
    <x v="1"/>
    <x v="0"/>
    <n v="1"/>
    <n v="1.4285714285714285E-2"/>
    <n v="1"/>
    <n v="1.4285714285714285E-2"/>
    <x v="0"/>
    <m/>
    <m/>
  </r>
  <r>
    <x v="0"/>
    <x v="0"/>
    <x v="2"/>
    <x v="6"/>
    <x v="44"/>
    <n v="37"/>
    <n v="30"/>
    <x v="0"/>
    <x v="1"/>
    <n v="5"/>
    <n v="0.15625"/>
    <n v="2"/>
    <n v="6.25E-2"/>
    <x v="0"/>
    <m/>
    <m/>
  </r>
  <r>
    <x v="0"/>
    <x v="0"/>
    <x v="2"/>
    <x v="7"/>
    <x v="45"/>
    <n v="69"/>
    <n v="56"/>
    <x v="0"/>
    <x v="0"/>
    <n v="14"/>
    <n v="0.25454545454545452"/>
    <n v="1"/>
    <n v="1.8181818181818181E-2"/>
    <x v="0"/>
    <m/>
    <m/>
  </r>
  <r>
    <x v="0"/>
    <x v="0"/>
    <x v="2"/>
    <x v="8"/>
    <x v="46"/>
    <n v="79"/>
    <n v="60"/>
    <x v="0"/>
    <x v="0"/>
    <n v="13"/>
    <n v="0.19696969696969696"/>
    <n v="6"/>
    <n v="9.0909090909090912E-2"/>
    <x v="0"/>
    <m/>
    <m/>
  </r>
  <r>
    <x v="0"/>
    <x v="0"/>
    <x v="2"/>
    <x v="9"/>
    <x v="47"/>
    <n v="61"/>
    <n v="56"/>
    <x v="0"/>
    <x v="0"/>
    <n v="7"/>
    <n v="0.12962962962962962"/>
    <n v="2"/>
    <n v="3.7037037037037035E-2"/>
    <x v="0"/>
    <m/>
    <m/>
  </r>
  <r>
    <x v="0"/>
    <x v="0"/>
    <x v="2"/>
    <x v="10"/>
    <x v="48"/>
    <n v="40"/>
    <n v="40"/>
    <x v="0"/>
    <x v="0"/>
    <n v="1"/>
    <n v="2.4390243902439025E-2"/>
    <n v="1"/>
    <n v="2.4390243902439025E-2"/>
    <x v="0"/>
    <m/>
    <m/>
  </r>
  <r>
    <x v="0"/>
    <x v="0"/>
    <x v="2"/>
    <x v="11"/>
    <x v="49"/>
    <n v="63"/>
    <n v="60"/>
    <x v="0"/>
    <x v="0"/>
    <n v="3"/>
    <n v="0.05"/>
    <n v="0"/>
    <n v="0"/>
    <x v="0"/>
    <m/>
    <m/>
  </r>
  <r>
    <x v="0"/>
    <x v="0"/>
    <x v="2"/>
    <x v="12"/>
    <x v="50"/>
    <n v="92"/>
    <n v="79"/>
    <x v="0"/>
    <x v="0"/>
    <n v="8"/>
    <n v="9.5238095238095233E-2"/>
    <n v="5"/>
    <n v="5.9523809523809521E-2"/>
    <x v="0"/>
    <m/>
    <m/>
  </r>
  <r>
    <x v="0"/>
    <x v="0"/>
    <x v="2"/>
    <x v="13"/>
    <x v="50"/>
    <n v="92"/>
    <n v="82"/>
    <x v="0"/>
    <x v="0"/>
    <n v="8"/>
    <n v="9.5238095238095233E-2"/>
    <n v="2"/>
    <n v="2.3809523809523808E-2"/>
    <x v="0"/>
    <m/>
    <m/>
  </r>
  <r>
    <x v="0"/>
    <x v="0"/>
    <x v="2"/>
    <x v="14"/>
    <x v="51"/>
    <n v="92"/>
    <n v="105"/>
    <x v="1"/>
    <x v="0"/>
    <n v="3"/>
    <n v="3.1578947368421054E-2"/>
    <n v="10"/>
    <n v="0.10526315789473684"/>
    <x v="0"/>
    <m/>
    <m/>
  </r>
  <r>
    <x v="0"/>
    <x v="0"/>
    <x v="2"/>
    <x v="15"/>
    <x v="52"/>
    <n v="73"/>
    <n v="62"/>
    <x v="1"/>
    <x v="0"/>
    <n v="8"/>
    <n v="0.12307692307692308"/>
    <n v="3"/>
    <n v="4.6153846153846156E-2"/>
    <x v="0"/>
    <m/>
    <m/>
  </r>
  <r>
    <x v="0"/>
    <x v="0"/>
    <x v="2"/>
    <x v="16"/>
    <x v="10"/>
    <n v="83"/>
    <n v="72"/>
    <x v="0"/>
    <x v="0"/>
    <n v="12"/>
    <n v="0.16901408450704225"/>
    <n v="1"/>
    <n v="1.4084507042253521E-2"/>
    <x v="0"/>
    <m/>
    <m/>
  </r>
  <r>
    <x v="0"/>
    <x v="0"/>
    <x v="2"/>
    <x v="17"/>
    <x v="53"/>
    <n v="75"/>
    <n v="66"/>
    <x v="0"/>
    <x v="0"/>
    <n v="11"/>
    <n v="0.171875"/>
    <n v="2"/>
    <n v="3.125E-2"/>
    <x v="0"/>
    <m/>
    <m/>
  </r>
  <r>
    <x v="0"/>
    <x v="0"/>
    <x v="2"/>
    <x v="18"/>
    <x v="46"/>
    <n v="76"/>
    <n v="65"/>
    <x v="0"/>
    <x v="0"/>
    <n v="10"/>
    <n v="0.15151515151515152"/>
    <n v="1"/>
    <n v="1.5151515151515152E-2"/>
    <x v="0"/>
    <m/>
    <m/>
  </r>
  <r>
    <x v="0"/>
    <x v="0"/>
    <x v="2"/>
    <x v="19"/>
    <x v="54"/>
    <n v="65"/>
    <n v="56"/>
    <x v="0"/>
    <x v="0"/>
    <n v="8"/>
    <n v="0.14035087719298245"/>
    <n v="1"/>
    <n v="1.7543859649122806E-2"/>
    <x v="0"/>
    <m/>
    <m/>
  </r>
  <r>
    <x v="0"/>
    <x v="0"/>
    <x v="2"/>
    <x v="20"/>
    <x v="55"/>
    <n v="69"/>
    <n v="62"/>
    <x v="1"/>
    <x v="0"/>
    <n v="10"/>
    <n v="0.16949152542372881"/>
    <n v="3"/>
    <n v="5.0847457627118647E-2"/>
    <x v="0"/>
    <m/>
    <m/>
  </r>
  <r>
    <x v="0"/>
    <x v="0"/>
    <x v="2"/>
    <x v="21"/>
    <x v="54"/>
    <n v="64"/>
    <n v="56"/>
    <x v="0"/>
    <x v="0"/>
    <n v="7"/>
    <n v="0.12280701754385964"/>
    <n v="1"/>
    <n v="1.7543859649122806E-2"/>
    <x v="0"/>
    <m/>
    <m/>
  </r>
  <r>
    <x v="0"/>
    <x v="0"/>
    <x v="2"/>
    <x v="22"/>
    <x v="54"/>
    <n v="74"/>
    <n v="54"/>
    <x v="1"/>
    <x v="0"/>
    <n v="17"/>
    <n v="0.2982456140350877"/>
    <n v="3"/>
    <n v="5.2631578947368418E-2"/>
    <x v="0"/>
    <m/>
    <m/>
  </r>
  <r>
    <x v="0"/>
    <x v="0"/>
    <x v="2"/>
    <x v="23"/>
    <x v="49"/>
    <n v="69"/>
    <n v="61"/>
    <x v="0"/>
    <x v="0"/>
    <n v="9"/>
    <n v="0.15"/>
    <n v="1"/>
    <n v="1.6666666666666666E-2"/>
    <x v="0"/>
    <m/>
    <m/>
  </r>
  <r>
    <x v="0"/>
    <x v="0"/>
    <x v="3"/>
    <x v="0"/>
    <x v="29"/>
    <n v="124"/>
    <n v="102"/>
    <x v="1"/>
    <x v="1"/>
    <n v="22"/>
    <n v="0.21568627450980393"/>
    <n v="0"/>
    <n v="0"/>
    <x v="0"/>
    <m/>
    <m/>
  </r>
  <r>
    <x v="0"/>
    <x v="0"/>
    <x v="3"/>
    <x v="1"/>
    <x v="56"/>
    <n v="209"/>
    <n v="173"/>
    <x v="1"/>
    <x v="0"/>
    <n v="23"/>
    <n v="0.12365591397849462"/>
    <n v="13"/>
    <n v="6.9892473118279563E-2"/>
    <x v="0"/>
    <m/>
    <m/>
  </r>
  <r>
    <x v="0"/>
    <x v="0"/>
    <x v="3"/>
    <x v="2"/>
    <x v="57"/>
    <n v="188"/>
    <n v="167"/>
    <x v="1"/>
    <x v="0"/>
    <n v="29"/>
    <n v="0.18238993710691823"/>
    <n v="8"/>
    <n v="5.0314465408805034E-2"/>
    <x v="0"/>
    <m/>
    <m/>
  </r>
  <r>
    <x v="0"/>
    <x v="0"/>
    <x v="3"/>
    <x v="3"/>
    <x v="58"/>
    <n v="226"/>
    <n v="196"/>
    <x v="1"/>
    <x v="0"/>
    <n v="37"/>
    <n v="0.19576719576719576"/>
    <n v="7"/>
    <n v="3.7037037037037035E-2"/>
    <x v="0"/>
    <m/>
    <m/>
  </r>
  <r>
    <x v="0"/>
    <x v="0"/>
    <x v="3"/>
    <x v="4"/>
    <x v="59"/>
    <n v="152"/>
    <n v="126"/>
    <x v="0"/>
    <x v="0"/>
    <n v="19"/>
    <n v="0.14285714285714285"/>
    <n v="7"/>
    <n v="5.2631578947368418E-2"/>
    <x v="0"/>
    <m/>
    <m/>
  </r>
  <r>
    <x v="0"/>
    <x v="0"/>
    <x v="3"/>
    <x v="5"/>
    <x v="60"/>
    <n v="191"/>
    <n v="158"/>
    <x v="0"/>
    <x v="0"/>
    <n v="20"/>
    <n v="0.11695906432748537"/>
    <n v="13"/>
    <n v="7.6023391812865493E-2"/>
    <x v="0"/>
    <m/>
    <m/>
  </r>
  <r>
    <x v="0"/>
    <x v="0"/>
    <x v="3"/>
    <x v="6"/>
    <x v="61"/>
    <n v="186"/>
    <n v="157"/>
    <x v="0"/>
    <x v="0"/>
    <n v="35"/>
    <n v="0.23178807947019867"/>
    <n v="6"/>
    <n v="3.9735099337748346E-2"/>
    <x v="0"/>
    <m/>
    <m/>
  </r>
  <r>
    <x v="0"/>
    <x v="0"/>
    <x v="3"/>
    <x v="7"/>
    <x v="7"/>
    <n v="158"/>
    <n v="144"/>
    <x v="0"/>
    <x v="0"/>
    <n v="13"/>
    <n v="8.9655172413793102E-2"/>
    <n v="1"/>
    <n v="6.8965517241379309E-3"/>
    <x v="0"/>
    <m/>
    <m/>
  </r>
  <r>
    <x v="0"/>
    <x v="0"/>
    <x v="3"/>
    <x v="8"/>
    <x v="29"/>
    <n v="126"/>
    <n v="101"/>
    <x v="0"/>
    <x v="0"/>
    <n v="24"/>
    <n v="0.23529411764705882"/>
    <n v="1"/>
    <n v="9.8039215686274508E-3"/>
    <x v="0"/>
    <m/>
    <m/>
  </r>
  <r>
    <x v="0"/>
    <x v="0"/>
    <x v="3"/>
    <x v="9"/>
    <x v="62"/>
    <n v="151"/>
    <n v="130"/>
    <x v="0"/>
    <x v="0"/>
    <n v="17"/>
    <n v="0.12686567164179105"/>
    <n v="4"/>
    <n v="2.9850746268656716E-2"/>
    <x v="0"/>
    <m/>
    <m/>
  </r>
  <r>
    <x v="0"/>
    <x v="0"/>
    <x v="3"/>
    <x v="10"/>
    <x v="53"/>
    <n v="85"/>
    <n v="65"/>
    <x v="0"/>
    <x v="1"/>
    <n v="21"/>
    <n v="0.328125"/>
    <n v="1"/>
    <n v="1.5625E-2"/>
    <x v="0"/>
    <m/>
    <m/>
  </r>
  <r>
    <x v="0"/>
    <x v="0"/>
    <x v="3"/>
    <x v="11"/>
    <x v="1"/>
    <n v="175"/>
    <n v="159"/>
    <x v="1"/>
    <x v="0"/>
    <n v="14"/>
    <n v="8.6956521739130432E-2"/>
    <n v="2"/>
    <n v="1.2422360248447204E-2"/>
    <x v="0"/>
    <m/>
    <m/>
  </r>
  <r>
    <x v="0"/>
    <x v="0"/>
    <x v="3"/>
    <x v="12"/>
    <x v="63"/>
    <n v="203"/>
    <n v="146"/>
    <x v="0"/>
    <x v="0"/>
    <n v="51"/>
    <n v="0.33552631578947367"/>
    <n v="6"/>
    <n v="3.9473684210526314E-2"/>
    <x v="0"/>
    <m/>
    <m/>
  </r>
  <r>
    <x v="0"/>
    <x v="0"/>
    <x v="3"/>
    <x v="13"/>
    <x v="64"/>
    <n v="190"/>
    <n v="168"/>
    <x v="0"/>
    <x v="0"/>
    <n v="21"/>
    <n v="0.1242603550295858"/>
    <n v="1"/>
    <n v="5.9171597633136093E-3"/>
    <x v="0"/>
    <m/>
    <m/>
  </r>
  <r>
    <x v="0"/>
    <x v="0"/>
    <x v="3"/>
    <x v="14"/>
    <x v="65"/>
    <n v="199"/>
    <n v="159"/>
    <x v="0"/>
    <x v="0"/>
    <n v="39"/>
    <n v="0.24374999999999999"/>
    <n v="1"/>
    <n v="6.2500000000000003E-3"/>
    <x v="0"/>
    <m/>
    <m/>
  </r>
  <r>
    <x v="0"/>
    <x v="0"/>
    <x v="3"/>
    <x v="15"/>
    <x v="66"/>
    <n v="103"/>
    <n v="98"/>
    <x v="0"/>
    <x v="1"/>
    <n v="5"/>
    <n v="5.1020408163265307E-2"/>
    <n v="0"/>
    <n v="0"/>
    <x v="0"/>
    <m/>
    <m/>
  </r>
  <r>
    <x v="0"/>
    <x v="0"/>
    <x v="3"/>
    <x v="16"/>
    <x v="67"/>
    <n v="210"/>
    <n v="191"/>
    <x v="0"/>
    <x v="0"/>
    <n v="31"/>
    <n v="0.17318435754189945"/>
    <n v="12"/>
    <n v="6.7039106145251395E-2"/>
    <x v="0"/>
    <m/>
    <m/>
  </r>
  <r>
    <x v="0"/>
    <x v="0"/>
    <x v="3"/>
    <x v="17"/>
    <x v="0"/>
    <n v="163"/>
    <n v="147"/>
    <x v="0"/>
    <x v="0"/>
    <n v="16"/>
    <n v="0.10884353741496598"/>
    <n v="0"/>
    <n v="0"/>
    <x v="0"/>
    <m/>
    <m/>
  </r>
  <r>
    <x v="0"/>
    <x v="0"/>
    <x v="3"/>
    <x v="18"/>
    <x v="0"/>
    <n v="201"/>
    <n v="149"/>
    <x v="0"/>
    <x v="0"/>
    <n v="54"/>
    <n v="0.36734693877551022"/>
    <n v="2"/>
    <n v="1.3605442176870748E-2"/>
    <x v="0"/>
    <m/>
    <m/>
  </r>
  <r>
    <x v="0"/>
    <x v="0"/>
    <x v="3"/>
    <x v="19"/>
    <x v="59"/>
    <n v="148"/>
    <n v="142"/>
    <x v="0"/>
    <x v="0"/>
    <n v="15"/>
    <n v="0.11278195488721804"/>
    <n v="9"/>
    <n v="6.7669172932330823E-2"/>
    <x v="0"/>
    <m/>
    <m/>
  </r>
  <r>
    <x v="0"/>
    <x v="0"/>
    <x v="3"/>
    <x v="20"/>
    <x v="68"/>
    <n v="124"/>
    <n v="116"/>
    <x v="0"/>
    <x v="0"/>
    <n v="9"/>
    <n v="7.8260869565217397E-2"/>
    <n v="1"/>
    <n v="8.6956521739130436E-3"/>
    <x v="0"/>
    <m/>
    <m/>
  </r>
  <r>
    <x v="0"/>
    <x v="0"/>
    <x v="3"/>
    <x v="21"/>
    <x v="24"/>
    <n v="105"/>
    <n v="125"/>
    <x v="1"/>
    <x v="0"/>
    <n v="22"/>
    <n v="0.17322834645669291"/>
    <n v="2"/>
    <n v="1.5748031496062992E-2"/>
    <x v="0"/>
    <m/>
    <m/>
  </r>
  <r>
    <x v="0"/>
    <x v="0"/>
    <x v="3"/>
    <x v="22"/>
    <x v="62"/>
    <n v="192"/>
    <n v="143"/>
    <x v="1"/>
    <x v="0"/>
    <n v="58"/>
    <n v="0.43283582089552236"/>
    <n v="9"/>
    <n v="6.7164179104477612E-2"/>
    <x v="0"/>
    <m/>
    <m/>
  </r>
  <r>
    <x v="0"/>
    <x v="0"/>
    <x v="3"/>
    <x v="23"/>
    <x v="61"/>
    <n v="181"/>
    <n v="157"/>
    <x v="0"/>
    <x v="0"/>
    <n v="30"/>
    <n v="0.19867549668874171"/>
    <n v="6"/>
    <n v="3.9735099337748346E-2"/>
    <x v="0"/>
    <m/>
    <m/>
  </r>
  <r>
    <x v="1"/>
    <x v="0"/>
    <x v="0"/>
    <x v="0"/>
    <x v="66"/>
    <n v="101"/>
    <n v="88"/>
    <x v="0"/>
    <x v="0"/>
    <n v="3"/>
    <n v="3.0612244897959183E-2"/>
    <n v="10"/>
    <n v="0.10204081632653061"/>
    <x v="0"/>
    <m/>
    <m/>
  </r>
  <r>
    <x v="1"/>
    <x v="0"/>
    <x v="0"/>
    <x v="1"/>
    <x v="20"/>
    <n v="155"/>
    <n v="123"/>
    <x v="1"/>
    <x v="0"/>
    <n v="33"/>
    <n v="0.27049180327868855"/>
    <n v="1"/>
    <n v="8.1967213114754103E-3"/>
    <x v="0"/>
    <m/>
    <m/>
  </r>
  <r>
    <x v="1"/>
    <x v="0"/>
    <x v="0"/>
    <x v="2"/>
    <x v="69"/>
    <n v="124"/>
    <n v="100"/>
    <x v="1"/>
    <x v="0"/>
    <n v="15"/>
    <n v="0.13761467889908258"/>
    <n v="9"/>
    <n v="8.2568807339449546E-2"/>
    <x v="0"/>
    <m/>
    <m/>
  </r>
  <r>
    <x v="1"/>
    <x v="0"/>
    <x v="0"/>
    <x v="3"/>
    <x v="19"/>
    <n v="128"/>
    <n v="102"/>
    <x v="0"/>
    <x v="0"/>
    <n v="14"/>
    <n v="0.12280701754385964"/>
    <n v="12"/>
    <n v="0.10526315789473684"/>
    <x v="0"/>
    <m/>
    <m/>
  </r>
  <r>
    <x v="1"/>
    <x v="0"/>
    <x v="0"/>
    <x v="4"/>
    <x v="25"/>
    <n v="111"/>
    <n v="114"/>
    <x v="0"/>
    <x v="0"/>
    <n v="0"/>
    <n v="0"/>
    <n v="3"/>
    <n v="2.7027027027027029E-2"/>
    <x v="0"/>
    <m/>
    <m/>
  </r>
  <r>
    <x v="1"/>
    <x v="0"/>
    <x v="0"/>
    <x v="5"/>
    <x v="40"/>
    <n v="89"/>
    <n v="79"/>
    <x v="0"/>
    <x v="0"/>
    <n v="10"/>
    <n v="0.12658227848101267"/>
    <n v="0"/>
    <n v="0"/>
    <x v="0"/>
    <m/>
    <m/>
  </r>
  <r>
    <x v="1"/>
    <x v="0"/>
    <x v="0"/>
    <x v="6"/>
    <x v="21"/>
    <n v="87"/>
    <n v="73"/>
    <x v="0"/>
    <x v="0"/>
    <n v="13"/>
    <n v="0.17567567567567569"/>
    <n v="1"/>
    <n v="1.3513513513513514E-2"/>
    <x v="0"/>
    <m/>
    <m/>
  </r>
  <r>
    <x v="1"/>
    <x v="0"/>
    <x v="0"/>
    <x v="7"/>
    <x v="10"/>
    <n v="82"/>
    <n v="69"/>
    <x v="0"/>
    <x v="0"/>
    <n v="11"/>
    <n v="0.15492957746478872"/>
    <n v="2"/>
    <n v="2.8169014084507043E-2"/>
    <x v="0"/>
    <m/>
    <m/>
  </r>
  <r>
    <x v="1"/>
    <x v="0"/>
    <x v="0"/>
    <x v="8"/>
    <x v="52"/>
    <n v="68"/>
    <n v="71"/>
    <x v="0"/>
    <x v="0"/>
    <n v="3"/>
    <n v="4.6153846153846156E-2"/>
    <n v="6"/>
    <n v="9.2307692307692313E-2"/>
    <x v="0"/>
    <m/>
    <m/>
  </r>
  <r>
    <x v="1"/>
    <x v="0"/>
    <x v="0"/>
    <x v="9"/>
    <x v="43"/>
    <n v="77"/>
    <n v="70"/>
    <x v="0"/>
    <x v="0"/>
    <n v="7"/>
    <n v="0.1"/>
    <n v="0"/>
    <n v="0"/>
    <x v="0"/>
    <m/>
    <m/>
  </r>
  <r>
    <x v="1"/>
    <x v="0"/>
    <x v="0"/>
    <x v="10"/>
    <x v="70"/>
    <n v="42"/>
    <n v="45"/>
    <x v="0"/>
    <x v="1"/>
    <n v="0"/>
    <n v="0"/>
    <n v="3"/>
    <n v="7.1428571428571425E-2"/>
    <x v="0"/>
    <m/>
    <m/>
  </r>
  <r>
    <x v="1"/>
    <x v="0"/>
    <x v="0"/>
    <x v="11"/>
    <x v="71"/>
    <n v="99"/>
    <n v="85"/>
    <x v="0"/>
    <x v="0"/>
    <n v="10"/>
    <n v="0.11235955056179775"/>
    <n v="4"/>
    <n v="4.49438202247191E-2"/>
    <x v="0"/>
    <m/>
    <m/>
  </r>
  <r>
    <x v="1"/>
    <x v="0"/>
    <x v="0"/>
    <x v="12"/>
    <x v="50"/>
    <n v="76"/>
    <n v="85"/>
    <x v="1"/>
    <x v="0"/>
    <n v="8"/>
    <n v="9.5238095238095233E-2"/>
    <n v="1"/>
    <n v="1.1904761904761904E-2"/>
    <x v="0"/>
    <m/>
    <m/>
  </r>
  <r>
    <x v="1"/>
    <x v="0"/>
    <x v="0"/>
    <x v="13"/>
    <x v="38"/>
    <n v="89"/>
    <n v="98"/>
    <x v="0"/>
    <x v="0"/>
    <n v="8"/>
    <n v="8.247422680412371E-2"/>
    <n v="1"/>
    <n v="1.0309278350515464E-2"/>
    <x v="0"/>
    <m/>
    <m/>
  </r>
  <r>
    <x v="1"/>
    <x v="0"/>
    <x v="0"/>
    <x v="14"/>
    <x v="32"/>
    <n v="112"/>
    <n v="133"/>
    <x v="0"/>
    <x v="0"/>
    <n v="6"/>
    <n v="5.0847457627118647E-2"/>
    <n v="15"/>
    <n v="0.1271186440677966"/>
    <x v="0"/>
    <m/>
    <m/>
  </r>
  <r>
    <x v="1"/>
    <x v="0"/>
    <x v="0"/>
    <x v="15"/>
    <x v="51"/>
    <n v="116"/>
    <n v="104"/>
    <x v="0"/>
    <x v="0"/>
    <n v="21"/>
    <n v="0.22105263157894736"/>
    <n v="9"/>
    <n v="9.4736842105263161E-2"/>
    <x v="0"/>
    <m/>
    <m/>
  </r>
  <r>
    <x v="1"/>
    <x v="0"/>
    <x v="0"/>
    <x v="16"/>
    <x v="38"/>
    <n v="113"/>
    <n v="96"/>
    <x v="0"/>
    <x v="0"/>
    <n v="16"/>
    <n v="0.16494845360824742"/>
    <n v="1"/>
    <n v="1.0309278350515464E-2"/>
    <x v="0"/>
    <m/>
    <m/>
  </r>
  <r>
    <x v="1"/>
    <x v="0"/>
    <x v="0"/>
    <x v="17"/>
    <x v="72"/>
    <n v="38"/>
    <n v="31"/>
    <x v="0"/>
    <x v="1"/>
    <n v="2"/>
    <n v="5.5555555555555552E-2"/>
    <n v="5"/>
    <n v="0.1388888888888889"/>
    <x v="0"/>
    <m/>
    <m/>
  </r>
  <r>
    <x v="1"/>
    <x v="0"/>
    <x v="0"/>
    <x v="18"/>
    <x v="50"/>
    <n v="92"/>
    <n v="91"/>
    <x v="1"/>
    <x v="0"/>
    <n v="8"/>
    <n v="9.5238095238095233E-2"/>
    <n v="7"/>
    <n v="8.3333333333333329E-2"/>
    <x v="0"/>
    <m/>
    <m/>
  </r>
  <r>
    <x v="1"/>
    <x v="0"/>
    <x v="0"/>
    <x v="19"/>
    <x v="10"/>
    <n v="64"/>
    <n v="80"/>
    <x v="1"/>
    <x v="0"/>
    <n v="7"/>
    <n v="9.8591549295774641E-2"/>
    <n v="9"/>
    <n v="0.12676056338028169"/>
    <x v="0"/>
    <m/>
    <m/>
  </r>
  <r>
    <x v="1"/>
    <x v="0"/>
    <x v="0"/>
    <x v="20"/>
    <x v="21"/>
    <n v="74"/>
    <n v="80"/>
    <x v="1"/>
    <x v="0"/>
    <n v="0"/>
    <n v="0"/>
    <n v="6"/>
    <n v="8.1081081081081086E-2"/>
    <x v="0"/>
    <m/>
    <m/>
  </r>
  <r>
    <x v="1"/>
    <x v="0"/>
    <x v="0"/>
    <x v="21"/>
    <x v="39"/>
    <n v="84"/>
    <n v="73"/>
    <x v="1"/>
    <x v="0"/>
    <n v="11"/>
    <n v="0.15068493150684931"/>
    <n v="0"/>
    <n v="0"/>
    <x v="0"/>
    <m/>
    <m/>
  </r>
  <r>
    <x v="1"/>
    <x v="0"/>
    <x v="0"/>
    <x v="22"/>
    <x v="42"/>
    <n v="62"/>
    <n v="79"/>
    <x v="0"/>
    <x v="0"/>
    <n v="10"/>
    <n v="0.1388888888888889"/>
    <n v="7"/>
    <n v="9.7222222222222224E-2"/>
    <x v="0"/>
    <m/>
    <m/>
  </r>
  <r>
    <x v="1"/>
    <x v="0"/>
    <x v="0"/>
    <x v="23"/>
    <x v="2"/>
    <n v="137"/>
    <n v="100"/>
    <x v="0"/>
    <x v="0"/>
    <n v="33"/>
    <n v="0.31730769230769229"/>
    <n v="4"/>
    <n v="3.8461538461538464E-2"/>
    <x v="0"/>
    <m/>
    <m/>
  </r>
  <r>
    <x v="1"/>
    <x v="0"/>
    <x v="1"/>
    <x v="0"/>
    <x v="11"/>
    <n v="154"/>
    <n v="173"/>
    <x v="1"/>
    <x v="0"/>
    <n v="14"/>
    <n v="8.3333333333333329E-2"/>
    <n v="5"/>
    <n v="2.976190476190476E-2"/>
    <x v="0"/>
    <m/>
    <m/>
  </r>
  <r>
    <x v="1"/>
    <x v="0"/>
    <x v="1"/>
    <x v="1"/>
    <x v="5"/>
    <n v="162"/>
    <n v="168"/>
    <x v="0"/>
    <x v="0"/>
    <n v="2"/>
    <n v="1.2195121951219513E-2"/>
    <n v="4"/>
    <n v="2.4390243902439025E-2"/>
    <x v="0"/>
    <m/>
    <m/>
  </r>
  <r>
    <x v="1"/>
    <x v="0"/>
    <x v="1"/>
    <x v="2"/>
    <x v="5"/>
    <n v="160"/>
    <n v="169"/>
    <x v="1"/>
    <x v="0"/>
    <n v="4"/>
    <n v="2.4390243902439025E-2"/>
    <n v="5"/>
    <n v="3.048780487804878E-2"/>
    <x v="0"/>
    <m/>
    <m/>
  </r>
  <r>
    <x v="1"/>
    <x v="0"/>
    <x v="1"/>
    <x v="3"/>
    <x v="73"/>
    <n v="161"/>
    <n v="152"/>
    <x v="1"/>
    <x v="0"/>
    <n v="15"/>
    <n v="0.10273972602739725"/>
    <n v="6"/>
    <n v="4.1095890410958902E-2"/>
    <x v="0"/>
    <m/>
    <m/>
  </r>
  <r>
    <x v="1"/>
    <x v="0"/>
    <x v="1"/>
    <x v="4"/>
    <x v="1"/>
    <n v="163"/>
    <n v="142"/>
    <x v="0"/>
    <x v="0"/>
    <n v="2"/>
    <n v="1.2422360248447204E-2"/>
    <n v="19"/>
    <n v="0.11801242236024845"/>
    <x v="0"/>
    <m/>
    <m/>
  </r>
  <r>
    <x v="1"/>
    <x v="0"/>
    <x v="1"/>
    <x v="5"/>
    <x v="5"/>
    <n v="164"/>
    <n v="144"/>
    <x v="0"/>
    <x v="0"/>
    <n v="0"/>
    <n v="0"/>
    <n v="20"/>
    <n v="0.12195121951219512"/>
    <x v="0"/>
    <m/>
    <m/>
  </r>
  <r>
    <x v="1"/>
    <x v="0"/>
    <x v="1"/>
    <x v="6"/>
    <x v="74"/>
    <n v="106"/>
    <n v="105"/>
    <x v="0"/>
    <x v="0"/>
    <n v="7"/>
    <n v="7.0707070707070704E-2"/>
    <n v="6"/>
    <n v="6.0606060606060608E-2"/>
    <x v="0"/>
    <m/>
    <m/>
  </r>
  <r>
    <x v="1"/>
    <x v="0"/>
    <x v="1"/>
    <x v="7"/>
    <x v="37"/>
    <n v="99"/>
    <n v="112"/>
    <x v="0"/>
    <x v="0"/>
    <n v="8"/>
    <n v="7.476635514018691E-2"/>
    <n v="5"/>
    <n v="4.6728971962616821E-2"/>
    <x v="0"/>
    <m/>
    <m/>
  </r>
  <r>
    <x v="1"/>
    <x v="0"/>
    <x v="1"/>
    <x v="8"/>
    <x v="8"/>
    <n v="125"/>
    <n v="122"/>
    <x v="0"/>
    <x v="0"/>
    <n v="0"/>
    <n v="0"/>
    <n v="3"/>
    <n v="2.4E-2"/>
    <x v="0"/>
    <m/>
    <m/>
  </r>
  <r>
    <x v="1"/>
    <x v="0"/>
    <x v="1"/>
    <x v="9"/>
    <x v="75"/>
    <n v="100"/>
    <n v="114"/>
    <x v="0"/>
    <x v="0"/>
    <n v="13"/>
    <n v="0.11504424778761062"/>
    <n v="1"/>
    <n v="8.8495575221238937E-3"/>
    <x v="0"/>
    <m/>
    <m/>
  </r>
  <r>
    <x v="1"/>
    <x v="0"/>
    <x v="1"/>
    <x v="10"/>
    <x v="76"/>
    <n v="131"/>
    <n v="181"/>
    <x v="0"/>
    <x v="0"/>
    <n v="26"/>
    <n v="0.16560509554140126"/>
    <n v="24"/>
    <n v="0.15286624203821655"/>
    <x v="0"/>
    <m/>
    <m/>
  </r>
  <r>
    <x v="1"/>
    <x v="0"/>
    <x v="1"/>
    <x v="11"/>
    <x v="7"/>
    <n v="154"/>
    <n v="159"/>
    <x v="0"/>
    <x v="0"/>
    <n v="9"/>
    <n v="6.2068965517241378E-2"/>
    <n v="14"/>
    <n v="9.6551724137931033E-2"/>
    <x v="0"/>
    <m/>
    <m/>
  </r>
  <r>
    <x v="1"/>
    <x v="0"/>
    <x v="1"/>
    <x v="12"/>
    <x v="77"/>
    <n v="119"/>
    <n v="126"/>
    <x v="0"/>
    <x v="0"/>
    <n v="19"/>
    <n v="0.13768115942028986"/>
    <n v="12"/>
    <n v="8.6956521739130432E-2"/>
    <x v="0"/>
    <m/>
    <m/>
  </r>
  <r>
    <x v="1"/>
    <x v="0"/>
    <x v="1"/>
    <x v="13"/>
    <x v="41"/>
    <n v="79"/>
    <n v="74"/>
    <x v="0"/>
    <x v="1"/>
    <n v="1"/>
    <n v="1.282051282051282E-2"/>
    <n v="4"/>
    <n v="5.128205128205128E-2"/>
    <x v="0"/>
    <m/>
    <m/>
  </r>
  <r>
    <x v="1"/>
    <x v="0"/>
    <x v="1"/>
    <x v="14"/>
    <x v="1"/>
    <n v="171"/>
    <n v="155"/>
    <x v="0"/>
    <x v="0"/>
    <n v="10"/>
    <n v="6.2111801242236024E-2"/>
    <n v="6"/>
    <n v="3.7267080745341616E-2"/>
    <x v="0"/>
    <m/>
    <m/>
  </r>
  <r>
    <x v="1"/>
    <x v="0"/>
    <x v="1"/>
    <x v="15"/>
    <x v="57"/>
    <n v="128"/>
    <n v="150"/>
    <x v="0"/>
    <x v="0"/>
    <n v="31"/>
    <n v="0.19496855345911951"/>
    <n v="9"/>
    <n v="5.6603773584905662E-2"/>
    <x v="0"/>
    <m/>
    <m/>
  </r>
  <r>
    <x v="1"/>
    <x v="0"/>
    <x v="1"/>
    <x v="16"/>
    <x v="67"/>
    <n v="154"/>
    <n v="184"/>
    <x v="0"/>
    <x v="0"/>
    <n v="25"/>
    <n v="0.13966480446927373"/>
    <n v="5"/>
    <n v="2.7932960893854747E-2"/>
    <x v="0"/>
    <m/>
    <m/>
  </r>
  <r>
    <x v="1"/>
    <x v="0"/>
    <x v="1"/>
    <x v="17"/>
    <x v="59"/>
    <n v="137"/>
    <n v="131"/>
    <x v="0"/>
    <x v="0"/>
    <n v="4"/>
    <n v="3.007518796992481E-2"/>
    <n v="2"/>
    <n v="1.5037593984962405E-2"/>
    <x v="0"/>
    <m/>
    <m/>
  </r>
  <r>
    <x v="1"/>
    <x v="0"/>
    <x v="1"/>
    <x v="18"/>
    <x v="16"/>
    <n v="129"/>
    <n v="135"/>
    <x v="1"/>
    <x v="0"/>
    <n v="10"/>
    <n v="7.1942446043165464E-2"/>
    <n v="4"/>
    <n v="2.8776978417266189E-2"/>
    <x v="0"/>
    <m/>
    <m/>
  </r>
  <r>
    <x v="1"/>
    <x v="0"/>
    <x v="1"/>
    <x v="19"/>
    <x v="78"/>
    <n v="96"/>
    <n v="120"/>
    <x v="1"/>
    <x v="0"/>
    <n v="23"/>
    <n v="0.19327731092436976"/>
    <n v="1"/>
    <n v="8.4033613445378148E-3"/>
    <x v="0"/>
    <m/>
    <m/>
  </r>
  <r>
    <x v="1"/>
    <x v="0"/>
    <x v="1"/>
    <x v="20"/>
    <x v="79"/>
    <n v="108"/>
    <n v="102"/>
    <x v="0"/>
    <x v="0"/>
    <n v="2"/>
    <n v="1.8867924528301886E-2"/>
    <n v="4"/>
    <n v="3.7735849056603772E-2"/>
    <x v="0"/>
    <m/>
    <m/>
  </r>
  <r>
    <x v="1"/>
    <x v="0"/>
    <x v="1"/>
    <x v="21"/>
    <x v="45"/>
    <n v="63"/>
    <n v="50"/>
    <x v="0"/>
    <x v="1"/>
    <n v="8"/>
    <n v="0.14545454545454545"/>
    <n v="5"/>
    <n v="9.0909090909090912E-2"/>
    <x v="0"/>
    <m/>
    <m/>
  </r>
  <r>
    <x v="1"/>
    <x v="0"/>
    <x v="1"/>
    <x v="22"/>
    <x v="23"/>
    <n v="101"/>
    <n v="115"/>
    <x v="1"/>
    <x v="0"/>
    <n v="20"/>
    <n v="0.16528925619834711"/>
    <n v="6"/>
    <n v="4.9586776859504134E-2"/>
    <x v="0"/>
    <m/>
    <m/>
  </r>
  <r>
    <x v="1"/>
    <x v="0"/>
    <x v="1"/>
    <x v="23"/>
    <x v="78"/>
    <n v="105"/>
    <n v="106"/>
    <x v="0"/>
    <x v="0"/>
    <n v="14"/>
    <n v="0.11764705882352941"/>
    <n v="13"/>
    <n v="0.1092436974789916"/>
    <x v="0"/>
    <m/>
    <m/>
  </r>
  <r>
    <x v="1"/>
    <x v="0"/>
    <x v="2"/>
    <x v="0"/>
    <x v="20"/>
    <n v="78"/>
    <n v="109"/>
    <x v="0"/>
    <x v="0"/>
    <n v="44"/>
    <n v="0.36065573770491804"/>
    <n v="13"/>
    <n v="0.10655737704918032"/>
    <x v="0"/>
    <m/>
    <m/>
  </r>
  <r>
    <x v="1"/>
    <x v="0"/>
    <x v="2"/>
    <x v="1"/>
    <x v="28"/>
    <n v="93"/>
    <n v="98"/>
    <x v="0"/>
    <x v="0"/>
    <n v="7"/>
    <n v="7.0000000000000007E-2"/>
    <n v="2"/>
    <n v="0.02"/>
    <x v="0"/>
    <m/>
    <m/>
  </r>
  <r>
    <x v="1"/>
    <x v="0"/>
    <x v="2"/>
    <x v="2"/>
    <x v="24"/>
    <n v="98"/>
    <n v="124"/>
    <x v="1"/>
    <x v="0"/>
    <n v="29"/>
    <n v="0.2283464566929134"/>
    <n v="3"/>
    <n v="2.3622047244094488E-2"/>
    <x v="0"/>
    <m/>
    <m/>
  </r>
  <r>
    <x v="1"/>
    <x v="0"/>
    <x v="2"/>
    <x v="3"/>
    <x v="19"/>
    <n v="102"/>
    <n v="114"/>
    <x v="0"/>
    <x v="0"/>
    <n v="12"/>
    <n v="0.10526315789473684"/>
    <n v="0"/>
    <n v="0"/>
    <x v="0"/>
    <m/>
    <m/>
  </r>
  <r>
    <x v="1"/>
    <x v="0"/>
    <x v="2"/>
    <x v="4"/>
    <x v="80"/>
    <n v="96"/>
    <n v="110"/>
    <x v="0"/>
    <x v="0"/>
    <n v="12"/>
    <n v="0.1111111111111111"/>
    <n v="2"/>
    <n v="1.8518518518518517E-2"/>
    <x v="0"/>
    <m/>
    <m/>
  </r>
  <r>
    <x v="1"/>
    <x v="0"/>
    <x v="2"/>
    <x v="5"/>
    <x v="15"/>
    <n v="86"/>
    <n v="82"/>
    <x v="0"/>
    <x v="0"/>
    <n v="1"/>
    <n v="1.1494252873563218E-2"/>
    <n v="5"/>
    <n v="5.7471264367816091E-2"/>
    <x v="0"/>
    <m/>
    <m/>
  </r>
  <r>
    <x v="1"/>
    <x v="0"/>
    <x v="2"/>
    <x v="6"/>
    <x v="29"/>
    <n v="82"/>
    <n v="98"/>
    <x v="1"/>
    <x v="0"/>
    <n v="20"/>
    <n v="0.19607843137254902"/>
    <n v="4"/>
    <n v="3.9215686274509803E-2"/>
    <x v="0"/>
    <m/>
    <m/>
  </r>
  <r>
    <x v="1"/>
    <x v="0"/>
    <x v="2"/>
    <x v="7"/>
    <x v="39"/>
    <n v="54"/>
    <n v="79"/>
    <x v="1"/>
    <x v="0"/>
    <n v="19"/>
    <n v="0.26027397260273971"/>
    <n v="6"/>
    <n v="8.2191780821917804E-2"/>
    <x v="0"/>
    <m/>
    <m/>
  </r>
  <r>
    <x v="1"/>
    <x v="0"/>
    <x v="2"/>
    <x v="8"/>
    <x v="81"/>
    <n v="56"/>
    <n v="72"/>
    <x v="1"/>
    <x v="0"/>
    <n v="12"/>
    <n v="0.17647058823529413"/>
    <n v="4"/>
    <n v="5.8823529411764705E-2"/>
    <x v="0"/>
    <m/>
    <m/>
  </r>
  <r>
    <x v="1"/>
    <x v="0"/>
    <x v="2"/>
    <x v="9"/>
    <x v="46"/>
    <n v="68"/>
    <n v="58"/>
    <x v="0"/>
    <x v="0"/>
    <n v="2"/>
    <n v="3.0303030303030304E-2"/>
    <n v="8"/>
    <n v="0.12121212121212122"/>
    <x v="0"/>
    <m/>
    <m/>
  </r>
  <r>
    <x v="1"/>
    <x v="0"/>
    <x v="2"/>
    <x v="10"/>
    <x v="82"/>
    <n v="87"/>
    <n v="94"/>
    <x v="0"/>
    <x v="0"/>
    <n v="9"/>
    <n v="9.375E-2"/>
    <n v="2"/>
    <n v="2.0833333333333332E-2"/>
    <x v="0"/>
    <m/>
    <m/>
  </r>
  <r>
    <x v="1"/>
    <x v="0"/>
    <x v="2"/>
    <x v="11"/>
    <x v="25"/>
    <n v="125"/>
    <n v="114"/>
    <x v="0"/>
    <x v="0"/>
    <n v="14"/>
    <n v="0.12612612612612611"/>
    <n v="3"/>
    <n v="2.7027027027027029E-2"/>
    <x v="0"/>
    <m/>
    <m/>
  </r>
  <r>
    <x v="1"/>
    <x v="0"/>
    <x v="2"/>
    <x v="12"/>
    <x v="27"/>
    <n v="85"/>
    <n v="85"/>
    <x v="0"/>
    <x v="0"/>
    <n v="8"/>
    <n v="8.6021505376344093E-2"/>
    <n v="8"/>
    <n v="8.6021505376344093E-2"/>
    <x v="0"/>
    <m/>
    <m/>
  </r>
  <r>
    <x v="1"/>
    <x v="0"/>
    <x v="2"/>
    <x v="13"/>
    <x v="23"/>
    <n v="104"/>
    <n v="124"/>
    <x v="0"/>
    <x v="0"/>
    <n v="17"/>
    <n v="0.14049586776859505"/>
    <n v="3"/>
    <n v="2.4793388429752067E-2"/>
    <x v="0"/>
    <m/>
    <m/>
  </r>
  <r>
    <x v="1"/>
    <x v="0"/>
    <x v="2"/>
    <x v="14"/>
    <x v="83"/>
    <n v="145"/>
    <n v="129"/>
    <x v="0"/>
    <x v="0"/>
    <n v="9"/>
    <n v="6.6176470588235295E-2"/>
    <n v="7"/>
    <n v="5.1470588235294115E-2"/>
    <x v="0"/>
    <m/>
    <m/>
  </r>
  <r>
    <x v="1"/>
    <x v="0"/>
    <x v="2"/>
    <x v="15"/>
    <x v="84"/>
    <n v="113"/>
    <n v="105"/>
    <x v="1"/>
    <x v="0"/>
    <n v="7"/>
    <n v="5.8333333333333334E-2"/>
    <n v="15"/>
    <n v="0.125"/>
    <x v="0"/>
    <m/>
    <m/>
  </r>
  <r>
    <x v="1"/>
    <x v="0"/>
    <x v="2"/>
    <x v="16"/>
    <x v="2"/>
    <n v="96"/>
    <n v="96"/>
    <x v="0"/>
    <x v="0"/>
    <n v="8"/>
    <n v="7.6923076923076927E-2"/>
    <n v="8"/>
    <n v="7.6923076923076927E-2"/>
    <x v="0"/>
    <m/>
    <m/>
  </r>
  <r>
    <x v="1"/>
    <x v="0"/>
    <x v="2"/>
    <x v="17"/>
    <x v="85"/>
    <n v="107"/>
    <n v="98"/>
    <x v="0"/>
    <x v="0"/>
    <n v="4"/>
    <n v="3.8834951456310676E-2"/>
    <n v="5"/>
    <n v="4.8543689320388349E-2"/>
    <x v="0"/>
    <m/>
    <m/>
  </r>
  <r>
    <x v="1"/>
    <x v="0"/>
    <x v="2"/>
    <x v="18"/>
    <x v="79"/>
    <n v="93"/>
    <n v="106"/>
    <x v="0"/>
    <x v="0"/>
    <n v="13"/>
    <n v="0.12264150943396226"/>
    <n v="0"/>
    <n v="0"/>
    <x v="0"/>
    <m/>
    <m/>
  </r>
  <r>
    <x v="1"/>
    <x v="0"/>
    <x v="2"/>
    <x v="19"/>
    <x v="26"/>
    <n v="79"/>
    <n v="75"/>
    <x v="0"/>
    <x v="0"/>
    <n v="3"/>
    <n v="3.6585365853658534E-2"/>
    <n v="7"/>
    <n v="8.5365853658536592E-2"/>
    <x v="0"/>
    <m/>
    <m/>
  </r>
  <r>
    <x v="1"/>
    <x v="0"/>
    <x v="2"/>
    <x v="20"/>
    <x v="52"/>
    <n v="65"/>
    <n v="63"/>
    <x v="0"/>
    <x v="0"/>
    <n v="0"/>
    <n v="0"/>
    <n v="2"/>
    <n v="3.0769230769230771E-2"/>
    <x v="0"/>
    <m/>
    <m/>
  </r>
  <r>
    <x v="1"/>
    <x v="0"/>
    <x v="2"/>
    <x v="21"/>
    <x v="26"/>
    <n v="90"/>
    <n v="81"/>
    <x v="0"/>
    <x v="0"/>
    <n v="8"/>
    <n v="9.7560975609756101E-2"/>
    <n v="1"/>
    <n v="1.2195121951219513E-2"/>
    <x v="0"/>
    <m/>
    <m/>
  </r>
  <r>
    <x v="1"/>
    <x v="0"/>
    <x v="2"/>
    <x v="22"/>
    <x v="36"/>
    <n v="88"/>
    <n v="86"/>
    <x v="0"/>
    <x v="0"/>
    <n v="4"/>
    <n v="4.3478260869565216E-2"/>
    <n v="6"/>
    <n v="6.5217391304347824E-2"/>
    <x v="0"/>
    <m/>
    <m/>
  </r>
  <r>
    <x v="1"/>
    <x v="0"/>
    <x v="2"/>
    <x v="23"/>
    <x v="37"/>
    <n v="83"/>
    <n v="105"/>
    <x v="0"/>
    <x v="0"/>
    <n v="24"/>
    <n v="0.22429906542056074"/>
    <n v="2"/>
    <n v="1.8691588785046728E-2"/>
    <x v="0"/>
    <m/>
    <m/>
  </r>
  <r>
    <x v="1"/>
    <x v="0"/>
    <x v="3"/>
    <x v="0"/>
    <x v="18"/>
    <n v="167"/>
    <n v="131"/>
    <x v="1"/>
    <x v="0"/>
    <n v="36"/>
    <n v="0.27480916030534353"/>
    <n v="0"/>
    <n v="0"/>
    <x v="0"/>
    <m/>
    <m/>
  </r>
  <r>
    <x v="1"/>
    <x v="0"/>
    <x v="3"/>
    <x v="1"/>
    <x v="86"/>
    <n v="150"/>
    <n v="130"/>
    <x v="1"/>
    <x v="0"/>
    <n v="20"/>
    <n v="0.15384615384615385"/>
    <n v="0"/>
    <n v="0"/>
    <x v="0"/>
    <m/>
    <m/>
  </r>
  <r>
    <x v="1"/>
    <x v="0"/>
    <x v="3"/>
    <x v="2"/>
    <x v="87"/>
    <n v="167"/>
    <n v="111"/>
    <x v="0"/>
    <x v="0"/>
    <n v="51"/>
    <n v="0.43965517241379309"/>
    <n v="5"/>
    <n v="4.3103448275862072E-2"/>
    <x v="0"/>
    <m/>
    <m/>
  </r>
  <r>
    <x v="1"/>
    <x v="0"/>
    <x v="3"/>
    <x v="3"/>
    <x v="8"/>
    <n v="145"/>
    <n v="118"/>
    <x v="0"/>
    <x v="0"/>
    <n v="20"/>
    <n v="0.16"/>
    <n v="7"/>
    <n v="5.6000000000000001E-2"/>
    <x v="0"/>
    <m/>
    <m/>
  </r>
  <r>
    <x v="1"/>
    <x v="0"/>
    <x v="3"/>
    <x v="4"/>
    <x v="23"/>
    <n v="135"/>
    <n v="134"/>
    <x v="1"/>
    <x v="0"/>
    <n v="14"/>
    <n v="0.11570247933884298"/>
    <n v="13"/>
    <n v="0.10743801652892562"/>
    <x v="0"/>
    <m/>
    <m/>
  </r>
  <r>
    <x v="1"/>
    <x v="0"/>
    <x v="3"/>
    <x v="5"/>
    <x v="19"/>
    <n v="125"/>
    <n v="129"/>
    <x v="0"/>
    <x v="0"/>
    <n v="11"/>
    <n v="9.6491228070175433E-2"/>
    <n v="15"/>
    <n v="0.13157894736842105"/>
    <x v="0"/>
    <m/>
    <m/>
  </r>
  <r>
    <x v="1"/>
    <x v="0"/>
    <x v="3"/>
    <x v="6"/>
    <x v="40"/>
    <n v="83"/>
    <n v="84"/>
    <x v="1"/>
    <x v="0"/>
    <n v="4"/>
    <n v="5.0632911392405063E-2"/>
    <n v="5"/>
    <n v="6.3291139240506333E-2"/>
    <x v="0"/>
    <m/>
    <m/>
  </r>
  <r>
    <x v="1"/>
    <x v="0"/>
    <x v="3"/>
    <x v="7"/>
    <x v="3"/>
    <n v="112"/>
    <n v="102"/>
    <x v="0"/>
    <x v="0"/>
    <n v="18"/>
    <n v="0.19148936170212766"/>
    <n v="8"/>
    <n v="8.5106382978723402E-2"/>
    <x v="0"/>
    <m/>
    <m/>
  </r>
  <r>
    <x v="1"/>
    <x v="0"/>
    <x v="3"/>
    <x v="8"/>
    <x v="40"/>
    <n v="75"/>
    <n v="77"/>
    <x v="0"/>
    <x v="0"/>
    <n v="4"/>
    <n v="5.0632911392405063E-2"/>
    <n v="2"/>
    <n v="2.5316455696202531E-2"/>
    <x v="0"/>
    <m/>
    <m/>
  </r>
  <r>
    <x v="1"/>
    <x v="0"/>
    <x v="3"/>
    <x v="9"/>
    <x v="88"/>
    <n v="115"/>
    <n v="77"/>
    <x v="1"/>
    <x v="0"/>
    <n v="35"/>
    <n v="0.4375"/>
    <n v="3"/>
    <n v="3.7499999999999999E-2"/>
    <x v="0"/>
    <m/>
    <m/>
  </r>
  <r>
    <x v="1"/>
    <x v="0"/>
    <x v="3"/>
    <x v="10"/>
    <x v="38"/>
    <n v="108"/>
    <n v="105"/>
    <x v="0"/>
    <x v="0"/>
    <n v="11"/>
    <n v="0.1134020618556701"/>
    <n v="8"/>
    <n v="8.247422680412371E-2"/>
    <x v="0"/>
    <m/>
    <m/>
  </r>
  <r>
    <x v="1"/>
    <x v="0"/>
    <x v="3"/>
    <x v="11"/>
    <x v="9"/>
    <n v="141"/>
    <n v="109"/>
    <x v="0"/>
    <x v="0"/>
    <n v="29"/>
    <n v="0.25892857142857145"/>
    <n v="3"/>
    <n v="2.6785714285714284E-2"/>
    <x v="0"/>
    <m/>
    <m/>
  </r>
  <r>
    <x v="1"/>
    <x v="0"/>
    <x v="3"/>
    <x v="12"/>
    <x v="24"/>
    <n v="147"/>
    <n v="120"/>
    <x v="0"/>
    <x v="0"/>
    <n v="20"/>
    <n v="0.15748031496062992"/>
    <n v="7"/>
    <n v="5.5118110236220472E-2"/>
    <x v="0"/>
    <m/>
    <m/>
  </r>
  <r>
    <x v="1"/>
    <x v="0"/>
    <x v="3"/>
    <x v="13"/>
    <x v="6"/>
    <n v="156"/>
    <n v="116"/>
    <x v="1"/>
    <x v="0"/>
    <n v="30"/>
    <n v="0.23809523809523808"/>
    <n v="10"/>
    <n v="7.9365079365079361E-2"/>
    <x v="0"/>
    <m/>
    <m/>
  </r>
  <r>
    <x v="1"/>
    <x v="0"/>
    <x v="3"/>
    <x v="14"/>
    <x v="22"/>
    <n v="173"/>
    <n v="142"/>
    <x v="1"/>
    <x v="0"/>
    <n v="29"/>
    <n v="0.2013888888888889"/>
    <n v="2"/>
    <n v="1.3888888888888888E-2"/>
    <x v="0"/>
    <m/>
    <m/>
  </r>
  <r>
    <x v="1"/>
    <x v="0"/>
    <x v="3"/>
    <x v="15"/>
    <x v="23"/>
    <n v="142"/>
    <n v="117"/>
    <x v="1"/>
    <x v="0"/>
    <n v="21"/>
    <n v="0.17355371900826447"/>
    <n v="4"/>
    <n v="3.3057851239669422E-2"/>
    <x v="0"/>
    <m/>
    <m/>
  </r>
  <r>
    <x v="1"/>
    <x v="0"/>
    <x v="3"/>
    <x v="16"/>
    <x v="89"/>
    <n v="78"/>
    <n v="59"/>
    <x v="0"/>
    <x v="1"/>
    <n v="15"/>
    <n v="0.23809523809523808"/>
    <n v="4"/>
    <n v="6.3492063492063489E-2"/>
    <x v="0"/>
    <m/>
    <m/>
  </r>
  <r>
    <x v="1"/>
    <x v="0"/>
    <x v="3"/>
    <x v="17"/>
    <x v="31"/>
    <n v="119"/>
    <n v="118"/>
    <x v="0"/>
    <x v="0"/>
    <n v="2"/>
    <n v="1.7094017094017096E-2"/>
    <n v="1"/>
    <n v="8.5470085470085479E-3"/>
    <x v="0"/>
    <m/>
    <m/>
  </r>
  <r>
    <x v="1"/>
    <x v="0"/>
    <x v="3"/>
    <x v="18"/>
    <x v="20"/>
    <n v="136"/>
    <n v="108"/>
    <x v="0"/>
    <x v="0"/>
    <n v="14"/>
    <n v="0.11475409836065574"/>
    <n v="14"/>
    <n v="0.11475409836065574"/>
    <x v="0"/>
    <m/>
    <m/>
  </r>
  <r>
    <x v="1"/>
    <x v="0"/>
    <x v="3"/>
    <x v="19"/>
    <x v="90"/>
    <n v="97"/>
    <n v="82"/>
    <x v="0"/>
    <x v="0"/>
    <n v="14"/>
    <n v="0.16867469879518071"/>
    <n v="1"/>
    <n v="1.2048192771084338E-2"/>
    <x v="0"/>
    <m/>
    <m/>
  </r>
  <r>
    <x v="1"/>
    <x v="0"/>
    <x v="3"/>
    <x v="20"/>
    <x v="88"/>
    <n v="88"/>
    <n v="80"/>
    <x v="1"/>
    <x v="0"/>
    <n v="8"/>
    <n v="0.1"/>
    <n v="0"/>
    <n v="0"/>
    <x v="0"/>
    <m/>
    <m/>
  </r>
  <r>
    <x v="1"/>
    <x v="0"/>
    <x v="3"/>
    <x v="21"/>
    <x v="91"/>
    <n v="108"/>
    <n v="85"/>
    <x v="1"/>
    <x v="0"/>
    <n v="23"/>
    <n v="0.27058823529411763"/>
    <n v="0"/>
    <n v="0"/>
    <x v="0"/>
    <m/>
    <m/>
  </r>
  <r>
    <x v="1"/>
    <x v="0"/>
    <x v="3"/>
    <x v="22"/>
    <x v="92"/>
    <n v="132"/>
    <n v="110"/>
    <x v="0"/>
    <x v="0"/>
    <n v="22"/>
    <n v="0.2"/>
    <n v="0"/>
    <n v="0"/>
    <x v="0"/>
    <m/>
    <m/>
  </r>
  <r>
    <x v="1"/>
    <x v="0"/>
    <x v="3"/>
    <x v="23"/>
    <x v="86"/>
    <n v="150"/>
    <n v="128"/>
    <x v="1"/>
    <x v="0"/>
    <n v="20"/>
    <n v="0.15384615384615385"/>
    <n v="2"/>
    <n v="1.5384615384615385E-2"/>
    <x v="0"/>
    <m/>
    <m/>
  </r>
  <r>
    <x v="2"/>
    <x v="1"/>
    <x v="0"/>
    <x v="0"/>
    <x v="93"/>
    <n v="93"/>
    <n v="76"/>
    <x v="0"/>
    <x v="0"/>
    <n v="16"/>
    <n v="0.20779220779220781"/>
    <n v="1"/>
    <n v="1.2987012987012988E-2"/>
    <x v="0"/>
    <m/>
    <m/>
  </r>
  <r>
    <x v="2"/>
    <x v="1"/>
    <x v="0"/>
    <x v="1"/>
    <x v="39"/>
    <n v="86"/>
    <n v="71"/>
    <x v="0"/>
    <x v="0"/>
    <n v="13"/>
    <n v="0.17808219178082191"/>
    <n v="2"/>
    <n v="2.7397260273972601E-2"/>
    <x v="0"/>
    <m/>
    <m/>
  </r>
  <r>
    <x v="2"/>
    <x v="1"/>
    <x v="0"/>
    <x v="2"/>
    <x v="94"/>
    <n v="86"/>
    <n v="69"/>
    <x v="1"/>
    <x v="0"/>
    <n v="11"/>
    <n v="0.14666666666666667"/>
    <n v="6"/>
    <n v="0.08"/>
    <x v="0"/>
    <m/>
    <m/>
  </r>
  <r>
    <x v="2"/>
    <x v="1"/>
    <x v="0"/>
    <x v="3"/>
    <x v="41"/>
    <n v="87"/>
    <n v="78"/>
    <x v="0"/>
    <x v="0"/>
    <n v="9"/>
    <n v="0.11538461538461539"/>
    <n v="0"/>
    <n v="0"/>
    <x v="0"/>
    <m/>
    <m/>
  </r>
  <r>
    <x v="2"/>
    <x v="1"/>
    <x v="0"/>
    <x v="4"/>
    <x v="95"/>
    <n v="78"/>
    <n v="69"/>
    <x v="1"/>
    <x v="0"/>
    <n v="11"/>
    <n v="0.16417910447761194"/>
    <n v="2"/>
    <n v="2.9850746268656716E-2"/>
    <x v="0"/>
    <m/>
    <m/>
  </r>
  <r>
    <x v="2"/>
    <x v="1"/>
    <x v="0"/>
    <x v="5"/>
    <x v="96"/>
    <n v="34"/>
    <n v="31"/>
    <x v="0"/>
    <x v="1"/>
    <n v="3"/>
    <n v="9.6774193548387094E-2"/>
    <n v="0"/>
    <n v="0"/>
    <x v="0"/>
    <m/>
    <m/>
  </r>
  <r>
    <x v="2"/>
    <x v="1"/>
    <x v="0"/>
    <x v="6"/>
    <x v="97"/>
    <n v="60"/>
    <n v="59"/>
    <x v="0"/>
    <x v="0"/>
    <n v="4"/>
    <n v="7.1428571428571425E-2"/>
    <n v="3"/>
    <n v="5.3571428571428568E-2"/>
    <x v="0"/>
    <m/>
    <m/>
  </r>
  <r>
    <x v="2"/>
    <x v="1"/>
    <x v="0"/>
    <x v="7"/>
    <x v="98"/>
    <n v="47"/>
    <n v="43"/>
    <x v="0"/>
    <x v="0"/>
    <n v="4"/>
    <n v="9.3023255813953487E-2"/>
    <n v="0"/>
    <n v="0"/>
    <x v="0"/>
    <m/>
    <m/>
  </r>
  <r>
    <x v="2"/>
    <x v="1"/>
    <x v="0"/>
    <x v="8"/>
    <x v="54"/>
    <n v="65"/>
    <n v="55"/>
    <x v="1"/>
    <x v="0"/>
    <n v="8"/>
    <n v="0.14035087719298245"/>
    <n v="2"/>
    <n v="3.5087719298245612E-2"/>
    <x v="0"/>
    <m/>
    <m/>
  </r>
  <r>
    <x v="2"/>
    <x v="1"/>
    <x v="0"/>
    <x v="9"/>
    <x v="99"/>
    <n v="30"/>
    <n v="26"/>
    <x v="0"/>
    <x v="1"/>
    <n v="0"/>
    <n v="0"/>
    <n v="4"/>
    <n v="0.13333333333333333"/>
    <x v="0"/>
    <m/>
    <m/>
  </r>
  <r>
    <x v="2"/>
    <x v="1"/>
    <x v="0"/>
    <x v="10"/>
    <x v="100"/>
    <n v="61"/>
    <n v="50"/>
    <x v="0"/>
    <x v="0"/>
    <n v="11"/>
    <n v="0.22"/>
    <n v="0"/>
    <n v="0"/>
    <x v="0"/>
    <m/>
    <m/>
  </r>
  <r>
    <x v="2"/>
    <x v="1"/>
    <x v="0"/>
    <x v="11"/>
    <x v="101"/>
    <n v="70"/>
    <n v="57"/>
    <x v="0"/>
    <x v="0"/>
    <n v="12"/>
    <n v="0.20689655172413793"/>
    <n v="1"/>
    <n v="1.7241379310344827E-2"/>
    <x v="0"/>
    <m/>
    <m/>
  </r>
  <r>
    <x v="2"/>
    <x v="1"/>
    <x v="0"/>
    <x v="12"/>
    <x v="54"/>
    <n v="61"/>
    <n v="56"/>
    <x v="0"/>
    <x v="0"/>
    <n v="4"/>
    <n v="7.0175438596491224E-2"/>
    <n v="1"/>
    <n v="1.7543859649122806E-2"/>
    <x v="0"/>
    <m/>
    <m/>
  </r>
  <r>
    <x v="2"/>
    <x v="1"/>
    <x v="0"/>
    <x v="13"/>
    <x v="21"/>
    <n v="75"/>
    <n v="79"/>
    <x v="1"/>
    <x v="0"/>
    <n v="1"/>
    <n v="1.3513513513513514E-2"/>
    <n v="5"/>
    <n v="6.7567567567567571E-2"/>
    <x v="0"/>
    <m/>
    <m/>
  </r>
  <r>
    <x v="2"/>
    <x v="1"/>
    <x v="0"/>
    <x v="14"/>
    <x v="102"/>
    <n v="90"/>
    <n v="78"/>
    <x v="1"/>
    <x v="0"/>
    <n v="14"/>
    <n v="0.18421052631578946"/>
    <n v="2"/>
    <n v="2.6315789473684209E-2"/>
    <x v="0"/>
    <m/>
    <m/>
  </r>
  <r>
    <x v="2"/>
    <x v="1"/>
    <x v="0"/>
    <x v="15"/>
    <x v="94"/>
    <n v="87"/>
    <n v="77"/>
    <x v="1"/>
    <x v="0"/>
    <n v="12"/>
    <n v="0.16"/>
    <n v="2"/>
    <n v="2.6666666666666668E-2"/>
    <x v="0"/>
    <m/>
    <m/>
  </r>
  <r>
    <x v="2"/>
    <x v="1"/>
    <x v="0"/>
    <x v="16"/>
    <x v="89"/>
    <n v="83"/>
    <n v="62"/>
    <x v="1"/>
    <x v="0"/>
    <n v="20"/>
    <n v="0.31746031746031744"/>
    <n v="1"/>
    <n v="1.5873015873015872E-2"/>
    <x v="0"/>
    <m/>
    <m/>
  </r>
  <r>
    <x v="2"/>
    <x v="1"/>
    <x v="0"/>
    <x v="17"/>
    <x v="103"/>
    <n v="65"/>
    <n v="51"/>
    <x v="0"/>
    <x v="0"/>
    <n v="12"/>
    <n v="0.22641509433962265"/>
    <n v="2"/>
    <n v="3.7735849056603772E-2"/>
    <x v="0"/>
    <m/>
    <m/>
  </r>
  <r>
    <x v="2"/>
    <x v="1"/>
    <x v="0"/>
    <x v="18"/>
    <x v="103"/>
    <n v="48"/>
    <n v="48"/>
    <x v="0"/>
    <x v="0"/>
    <n v="5"/>
    <n v="9.4339622641509441E-2"/>
    <n v="5"/>
    <n v="9.4339622641509441E-2"/>
    <x v="0"/>
    <m/>
    <m/>
  </r>
  <r>
    <x v="2"/>
    <x v="1"/>
    <x v="0"/>
    <x v="19"/>
    <x v="45"/>
    <n v="57"/>
    <n v="54"/>
    <x v="0"/>
    <x v="0"/>
    <n v="2"/>
    <n v="3.6363636363636362E-2"/>
    <n v="1"/>
    <n v="1.8181818181818181E-2"/>
    <x v="0"/>
    <m/>
    <m/>
  </r>
  <r>
    <x v="2"/>
    <x v="1"/>
    <x v="0"/>
    <x v="20"/>
    <x v="104"/>
    <n v="24"/>
    <n v="25"/>
    <x v="0"/>
    <x v="1"/>
    <n v="0"/>
    <n v="0"/>
    <n v="1"/>
    <n v="4.1666666666666664E-2"/>
    <x v="0"/>
    <m/>
    <m/>
  </r>
  <r>
    <x v="2"/>
    <x v="1"/>
    <x v="0"/>
    <x v="21"/>
    <x v="45"/>
    <n v="64"/>
    <n v="49"/>
    <x v="0"/>
    <x v="0"/>
    <n v="9"/>
    <n v="0.16363636363636364"/>
    <n v="6"/>
    <n v="0.10909090909090909"/>
    <x v="0"/>
    <m/>
    <m/>
  </r>
  <r>
    <x v="2"/>
    <x v="1"/>
    <x v="0"/>
    <x v="22"/>
    <x v="100"/>
    <n v="56"/>
    <n v="54"/>
    <x v="0"/>
    <x v="0"/>
    <n v="6"/>
    <n v="0.12"/>
    <n v="4"/>
    <n v="0.08"/>
    <x v="0"/>
    <m/>
    <m/>
  </r>
  <r>
    <x v="2"/>
    <x v="1"/>
    <x v="0"/>
    <x v="23"/>
    <x v="52"/>
    <n v="83"/>
    <n v="68"/>
    <x v="1"/>
    <x v="0"/>
    <n v="18"/>
    <n v="0.27692307692307694"/>
    <n v="3"/>
    <n v="4.6153846153846156E-2"/>
    <x v="0"/>
    <m/>
    <m/>
  </r>
  <r>
    <x v="2"/>
    <x v="1"/>
    <x v="1"/>
    <x v="0"/>
    <x v="105"/>
    <n v="220"/>
    <n v="209"/>
    <x v="0"/>
    <x v="0"/>
    <n v="12"/>
    <n v="5.7692307692307696E-2"/>
    <n v="1"/>
    <n v="4.807692307692308E-3"/>
    <x v="0"/>
    <m/>
    <m/>
  </r>
  <r>
    <x v="2"/>
    <x v="1"/>
    <x v="1"/>
    <x v="1"/>
    <x v="106"/>
    <n v="290"/>
    <n v="222"/>
    <x v="1"/>
    <x v="0"/>
    <n v="65"/>
    <n v="0.28888888888888886"/>
    <n v="3"/>
    <n v="1.3333333333333334E-2"/>
    <x v="0"/>
    <m/>
    <m/>
  </r>
  <r>
    <x v="2"/>
    <x v="1"/>
    <x v="1"/>
    <x v="2"/>
    <x v="107"/>
    <n v="266"/>
    <n v="235"/>
    <x v="0"/>
    <x v="0"/>
    <n v="49"/>
    <n v="0.22580645161290322"/>
    <n v="18"/>
    <n v="8.294930875576037E-2"/>
    <x v="0"/>
    <m/>
    <m/>
  </r>
  <r>
    <x v="2"/>
    <x v="1"/>
    <x v="1"/>
    <x v="3"/>
    <x v="108"/>
    <n v="268"/>
    <n v="199"/>
    <x v="0"/>
    <x v="0"/>
    <n v="64"/>
    <n v="0.31372549019607843"/>
    <n v="5"/>
    <n v="2.4509803921568627E-2"/>
    <x v="0"/>
    <m/>
    <m/>
  </r>
  <r>
    <x v="2"/>
    <x v="1"/>
    <x v="1"/>
    <x v="4"/>
    <x v="109"/>
    <n v="236"/>
    <n v="206"/>
    <x v="0"/>
    <x v="0"/>
    <n v="24"/>
    <n v="0.11320754716981132"/>
    <n v="6"/>
    <n v="2.8301886792452831E-2"/>
    <x v="0"/>
    <m/>
    <m/>
  </r>
  <r>
    <x v="2"/>
    <x v="1"/>
    <x v="1"/>
    <x v="5"/>
    <x v="110"/>
    <n v="171"/>
    <n v="191"/>
    <x v="0"/>
    <x v="0"/>
    <n v="10"/>
    <n v="5.5248618784530384E-2"/>
    <n v="10"/>
    <n v="5.5248618784530384E-2"/>
    <x v="0"/>
    <m/>
    <m/>
  </r>
  <r>
    <x v="2"/>
    <x v="1"/>
    <x v="1"/>
    <x v="6"/>
    <x v="1"/>
    <n v="161"/>
    <n v="157"/>
    <x v="0"/>
    <x v="0"/>
    <n v="0"/>
    <n v="0"/>
    <n v="4"/>
    <n v="2.4844720496894408E-2"/>
    <x v="0"/>
    <m/>
    <m/>
  </r>
  <r>
    <x v="2"/>
    <x v="1"/>
    <x v="1"/>
    <x v="7"/>
    <x v="111"/>
    <n v="153"/>
    <n v="127"/>
    <x v="0"/>
    <x v="0"/>
    <n v="24"/>
    <n v="0.18604651162790697"/>
    <n v="2"/>
    <n v="1.5503875968992248E-2"/>
    <x v="0"/>
    <m/>
    <m/>
  </r>
  <r>
    <x v="2"/>
    <x v="1"/>
    <x v="1"/>
    <x v="8"/>
    <x v="73"/>
    <n v="180"/>
    <n v="152"/>
    <x v="0"/>
    <x v="0"/>
    <n v="34"/>
    <n v="0.23287671232876711"/>
    <n v="6"/>
    <n v="4.1095890410958902E-2"/>
    <x v="0"/>
    <m/>
    <m/>
  </r>
  <r>
    <x v="2"/>
    <x v="1"/>
    <x v="1"/>
    <x v="9"/>
    <x v="112"/>
    <n v="240"/>
    <n v="179"/>
    <x v="0"/>
    <x v="0"/>
    <n v="45"/>
    <n v="0.23076923076923078"/>
    <n v="16"/>
    <n v="8.2051282051282051E-2"/>
    <x v="0"/>
    <m/>
    <m/>
  </r>
  <r>
    <x v="2"/>
    <x v="1"/>
    <x v="1"/>
    <x v="10"/>
    <x v="113"/>
    <n v="141"/>
    <n v="144"/>
    <x v="0"/>
    <x v="0"/>
    <n v="9"/>
    <n v="0.06"/>
    <n v="6"/>
    <n v="0.04"/>
    <x v="0"/>
    <m/>
    <m/>
  </r>
  <r>
    <x v="2"/>
    <x v="1"/>
    <x v="1"/>
    <x v="11"/>
    <x v="114"/>
    <n v="145"/>
    <n v="150"/>
    <x v="1"/>
    <x v="0"/>
    <n v="4"/>
    <n v="2.8368794326241134E-2"/>
    <n v="9"/>
    <n v="6.3829787234042548E-2"/>
    <x v="0"/>
    <m/>
    <m/>
  </r>
  <r>
    <x v="2"/>
    <x v="1"/>
    <x v="1"/>
    <x v="12"/>
    <x v="115"/>
    <n v="173"/>
    <n v="197"/>
    <x v="0"/>
    <x v="0"/>
    <n v="32"/>
    <n v="0.15609756097560976"/>
    <n v="8"/>
    <n v="3.9024390243902439E-2"/>
    <x v="0"/>
    <m/>
    <m/>
  </r>
  <r>
    <x v="2"/>
    <x v="1"/>
    <x v="1"/>
    <x v="13"/>
    <x v="116"/>
    <n v="261"/>
    <n v="193"/>
    <x v="0"/>
    <x v="0"/>
    <n v="50"/>
    <n v="0.23696682464454977"/>
    <n v="18"/>
    <n v="8.5308056872037921E-2"/>
    <x v="0"/>
    <m/>
    <m/>
  </r>
  <r>
    <x v="2"/>
    <x v="1"/>
    <x v="1"/>
    <x v="14"/>
    <x v="106"/>
    <n v="226"/>
    <n v="215"/>
    <x v="0"/>
    <x v="0"/>
    <n v="1"/>
    <n v="4.4444444444444444E-3"/>
    <n v="10"/>
    <n v="4.4444444444444446E-2"/>
    <x v="0"/>
    <m/>
    <m/>
  </r>
  <r>
    <x v="2"/>
    <x v="1"/>
    <x v="1"/>
    <x v="15"/>
    <x v="67"/>
    <n v="223"/>
    <n v="192"/>
    <x v="1"/>
    <x v="0"/>
    <n v="44"/>
    <n v="0.24581005586592178"/>
    <n v="13"/>
    <n v="7.2625698324022353E-2"/>
    <x v="0"/>
    <m/>
    <m/>
  </r>
  <r>
    <x v="2"/>
    <x v="1"/>
    <x v="1"/>
    <x v="16"/>
    <x v="117"/>
    <n v="220"/>
    <n v="189"/>
    <x v="0"/>
    <x v="0"/>
    <n v="10"/>
    <n v="4.7619047619047616E-2"/>
    <n v="21"/>
    <n v="0.1"/>
    <x v="0"/>
    <m/>
    <m/>
  </r>
  <r>
    <x v="2"/>
    <x v="1"/>
    <x v="1"/>
    <x v="17"/>
    <x v="118"/>
    <n v="180"/>
    <n v="160"/>
    <x v="0"/>
    <x v="0"/>
    <n v="10"/>
    <n v="5.8823529411764705E-2"/>
    <n v="10"/>
    <n v="5.8823529411764705E-2"/>
    <x v="0"/>
    <m/>
    <m/>
  </r>
  <r>
    <x v="2"/>
    <x v="1"/>
    <x v="1"/>
    <x v="18"/>
    <x v="102"/>
    <n v="72"/>
    <n v="81"/>
    <x v="0"/>
    <x v="1"/>
    <n v="4"/>
    <n v="5.2631578947368418E-2"/>
    <n v="5"/>
    <n v="6.5789473684210523E-2"/>
    <x v="0"/>
    <m/>
    <m/>
  </r>
  <r>
    <x v="2"/>
    <x v="1"/>
    <x v="1"/>
    <x v="19"/>
    <x v="24"/>
    <n v="145"/>
    <n v="133"/>
    <x v="0"/>
    <x v="0"/>
    <n v="18"/>
    <n v="0.14173228346456693"/>
    <n v="6"/>
    <n v="4.7244094488188976E-2"/>
    <x v="0"/>
    <m/>
    <m/>
  </r>
  <r>
    <x v="2"/>
    <x v="1"/>
    <x v="1"/>
    <x v="20"/>
    <x v="64"/>
    <n v="221"/>
    <n v="166"/>
    <x v="0"/>
    <x v="0"/>
    <n v="52"/>
    <n v="0.30769230769230771"/>
    <n v="3"/>
    <n v="1.7751479289940829E-2"/>
    <x v="0"/>
    <m/>
    <m/>
  </r>
  <r>
    <x v="2"/>
    <x v="1"/>
    <x v="1"/>
    <x v="21"/>
    <x v="22"/>
    <n v="146"/>
    <n v="140"/>
    <x v="0"/>
    <x v="0"/>
    <n v="2"/>
    <n v="1.3888888888888888E-2"/>
    <n v="4"/>
    <n v="2.7777777777777776E-2"/>
    <x v="0"/>
    <m/>
    <m/>
  </r>
  <r>
    <x v="2"/>
    <x v="1"/>
    <x v="1"/>
    <x v="22"/>
    <x v="119"/>
    <n v="221"/>
    <n v="187"/>
    <x v="0"/>
    <x v="0"/>
    <n v="29"/>
    <n v="0.15104166666666666"/>
    <n v="5"/>
    <n v="2.6041666666666668E-2"/>
    <x v="0"/>
    <m/>
    <m/>
  </r>
  <r>
    <x v="2"/>
    <x v="1"/>
    <x v="1"/>
    <x v="23"/>
    <x v="77"/>
    <n v="127"/>
    <n v="141"/>
    <x v="0"/>
    <x v="0"/>
    <n v="11"/>
    <n v="7.9710144927536225E-2"/>
    <n v="3"/>
    <n v="2.1739130434782608E-2"/>
    <x v="0"/>
    <m/>
    <m/>
  </r>
  <r>
    <x v="2"/>
    <x v="1"/>
    <x v="2"/>
    <x v="0"/>
    <x v="120"/>
    <n v="86"/>
    <n v="87"/>
    <x v="0"/>
    <x v="0"/>
    <n v="0"/>
    <n v="0"/>
    <n v="1"/>
    <n v="1.1627906976744186E-2"/>
    <x v="0"/>
    <m/>
    <m/>
  </r>
  <r>
    <x v="2"/>
    <x v="1"/>
    <x v="2"/>
    <x v="1"/>
    <x v="51"/>
    <n v="94"/>
    <n v="90"/>
    <x v="0"/>
    <x v="0"/>
    <n v="1"/>
    <n v="1.0526315789473684E-2"/>
    <n v="5"/>
    <n v="5.2631578947368418E-2"/>
    <x v="0"/>
    <m/>
    <m/>
  </r>
  <r>
    <x v="2"/>
    <x v="1"/>
    <x v="2"/>
    <x v="2"/>
    <x v="121"/>
    <n v="59"/>
    <n v="54"/>
    <x v="1"/>
    <x v="1"/>
    <n v="7"/>
    <n v="0.13461538461538461"/>
    <n v="2"/>
    <n v="3.8461538461538464E-2"/>
    <x v="0"/>
    <m/>
    <m/>
  </r>
  <r>
    <x v="2"/>
    <x v="1"/>
    <x v="2"/>
    <x v="3"/>
    <x v="122"/>
    <n v="100"/>
    <n v="107"/>
    <x v="0"/>
    <x v="0"/>
    <n v="5"/>
    <n v="4.7619047619047616E-2"/>
    <n v="2"/>
    <n v="1.9047619047619049E-2"/>
    <x v="0"/>
    <m/>
    <m/>
  </r>
  <r>
    <x v="2"/>
    <x v="1"/>
    <x v="2"/>
    <x v="4"/>
    <x v="91"/>
    <n v="93"/>
    <n v="81"/>
    <x v="0"/>
    <x v="0"/>
    <n v="8"/>
    <n v="9.4117647058823528E-2"/>
    <n v="4"/>
    <n v="4.7058823529411764E-2"/>
    <x v="0"/>
    <m/>
    <m/>
  </r>
  <r>
    <x v="2"/>
    <x v="1"/>
    <x v="2"/>
    <x v="5"/>
    <x v="123"/>
    <n v="45"/>
    <n v="43"/>
    <x v="0"/>
    <x v="1"/>
    <n v="1"/>
    <n v="2.2727272727272728E-2"/>
    <n v="1"/>
    <n v="2.2727272727272728E-2"/>
    <x v="0"/>
    <m/>
    <m/>
  </r>
  <r>
    <x v="2"/>
    <x v="1"/>
    <x v="2"/>
    <x v="6"/>
    <x v="26"/>
    <n v="80"/>
    <n v="75"/>
    <x v="1"/>
    <x v="0"/>
    <n v="2"/>
    <n v="2.4390243902439025E-2"/>
    <n v="7"/>
    <n v="8.5365853658536592E-2"/>
    <x v="0"/>
    <m/>
    <m/>
  </r>
  <r>
    <x v="2"/>
    <x v="1"/>
    <x v="2"/>
    <x v="7"/>
    <x v="52"/>
    <n v="65"/>
    <n v="67"/>
    <x v="0"/>
    <x v="0"/>
    <n v="0"/>
    <n v="0"/>
    <n v="2"/>
    <n v="3.0769230769230771E-2"/>
    <x v="0"/>
    <m/>
    <m/>
  </r>
  <r>
    <x v="2"/>
    <x v="1"/>
    <x v="2"/>
    <x v="8"/>
    <x v="43"/>
    <n v="58"/>
    <n v="65"/>
    <x v="0"/>
    <x v="0"/>
    <n v="12"/>
    <n v="0.17142857142857143"/>
    <n v="5"/>
    <n v="7.1428571428571425E-2"/>
    <x v="0"/>
    <m/>
    <m/>
  </r>
  <r>
    <x v="2"/>
    <x v="1"/>
    <x v="2"/>
    <x v="9"/>
    <x v="49"/>
    <n v="47"/>
    <n v="59"/>
    <x v="0"/>
    <x v="0"/>
    <n v="13"/>
    <n v="0.21666666666666667"/>
    <n v="1"/>
    <n v="1.6666666666666666E-2"/>
    <x v="0"/>
    <m/>
    <m/>
  </r>
  <r>
    <x v="2"/>
    <x v="1"/>
    <x v="2"/>
    <x v="10"/>
    <x v="40"/>
    <n v="68"/>
    <n v="83"/>
    <x v="0"/>
    <x v="0"/>
    <n v="11"/>
    <n v="0.13924050632911392"/>
    <n v="4"/>
    <n v="5.0632911392405063E-2"/>
    <x v="0"/>
    <m/>
    <m/>
  </r>
  <r>
    <x v="2"/>
    <x v="1"/>
    <x v="2"/>
    <x v="11"/>
    <x v="28"/>
    <n v="94"/>
    <n v="105"/>
    <x v="0"/>
    <x v="0"/>
    <n v="6"/>
    <n v="0.06"/>
    <n v="5"/>
    <n v="0.05"/>
    <x v="0"/>
    <m/>
    <m/>
  </r>
  <r>
    <x v="2"/>
    <x v="1"/>
    <x v="2"/>
    <x v="12"/>
    <x v="50"/>
    <n v="66"/>
    <n v="90"/>
    <x v="0"/>
    <x v="0"/>
    <n v="18"/>
    <n v="0.21428571428571427"/>
    <n v="6"/>
    <n v="7.1428571428571425E-2"/>
    <x v="0"/>
    <m/>
    <m/>
  </r>
  <r>
    <x v="2"/>
    <x v="1"/>
    <x v="2"/>
    <x v="13"/>
    <x v="90"/>
    <n v="83"/>
    <n v="85"/>
    <x v="0"/>
    <x v="0"/>
    <n v="0"/>
    <n v="0"/>
    <n v="2"/>
    <n v="2.4096385542168676E-2"/>
    <x v="0"/>
    <m/>
    <m/>
  </r>
  <r>
    <x v="2"/>
    <x v="1"/>
    <x v="2"/>
    <x v="14"/>
    <x v="100"/>
    <n v="49"/>
    <n v="49"/>
    <x v="0"/>
    <x v="1"/>
    <n v="1"/>
    <n v="0.02"/>
    <n v="1"/>
    <n v="0.02"/>
    <x v="0"/>
    <m/>
    <m/>
  </r>
  <r>
    <x v="2"/>
    <x v="1"/>
    <x v="2"/>
    <x v="15"/>
    <x v="37"/>
    <n v="91"/>
    <n v="101"/>
    <x v="0"/>
    <x v="0"/>
    <n v="16"/>
    <n v="0.14953271028037382"/>
    <n v="6"/>
    <n v="5.6074766355140186E-2"/>
    <x v="0"/>
    <m/>
    <m/>
  </r>
  <r>
    <x v="2"/>
    <x v="1"/>
    <x v="2"/>
    <x v="16"/>
    <x v="93"/>
    <n v="75"/>
    <n v="82"/>
    <x v="0"/>
    <x v="0"/>
    <n v="2"/>
    <n v="2.5974025974025976E-2"/>
    <n v="5"/>
    <n v="6.4935064935064929E-2"/>
    <x v="0"/>
    <m/>
    <m/>
  </r>
  <r>
    <x v="2"/>
    <x v="1"/>
    <x v="2"/>
    <x v="17"/>
    <x v="27"/>
    <n v="86"/>
    <n v="92"/>
    <x v="0"/>
    <x v="0"/>
    <n v="7"/>
    <n v="7.5268817204301078E-2"/>
    <n v="1"/>
    <n v="1.0752688172043012E-2"/>
    <x v="0"/>
    <m/>
    <m/>
  </r>
  <r>
    <x v="2"/>
    <x v="1"/>
    <x v="2"/>
    <x v="18"/>
    <x v="36"/>
    <n v="88"/>
    <n v="92"/>
    <x v="0"/>
    <x v="0"/>
    <n v="4"/>
    <n v="4.3478260869565216E-2"/>
    <n v="0"/>
    <n v="0"/>
    <x v="0"/>
    <m/>
    <m/>
  </r>
  <r>
    <x v="2"/>
    <x v="1"/>
    <x v="2"/>
    <x v="19"/>
    <x v="44"/>
    <n v="34"/>
    <n v="31"/>
    <x v="0"/>
    <x v="1"/>
    <n v="2"/>
    <n v="6.25E-2"/>
    <n v="1"/>
    <n v="3.125E-2"/>
    <x v="0"/>
    <m/>
    <m/>
  </r>
  <r>
    <x v="2"/>
    <x v="1"/>
    <x v="2"/>
    <x v="20"/>
    <x v="42"/>
    <n v="68"/>
    <n v="76"/>
    <x v="0"/>
    <x v="0"/>
    <n v="4"/>
    <n v="5.5555555555555552E-2"/>
    <n v="4"/>
    <n v="5.5555555555555552E-2"/>
    <x v="0"/>
    <m/>
    <m/>
  </r>
  <r>
    <x v="2"/>
    <x v="1"/>
    <x v="2"/>
    <x v="21"/>
    <x v="21"/>
    <n v="73"/>
    <n v="69"/>
    <x v="1"/>
    <x v="0"/>
    <n v="1"/>
    <n v="1.3513513513513514E-2"/>
    <n v="5"/>
    <n v="6.7567567567567571E-2"/>
    <x v="0"/>
    <m/>
    <m/>
  </r>
  <r>
    <x v="2"/>
    <x v="1"/>
    <x v="2"/>
    <x v="22"/>
    <x v="102"/>
    <n v="77"/>
    <n v="78"/>
    <x v="0"/>
    <x v="0"/>
    <n v="1"/>
    <n v="1.3157894736842105E-2"/>
    <n v="2"/>
    <n v="2.6315789473684209E-2"/>
    <x v="0"/>
    <m/>
    <m/>
  </r>
  <r>
    <x v="2"/>
    <x v="1"/>
    <x v="2"/>
    <x v="23"/>
    <x v="88"/>
    <n v="89"/>
    <n v="76"/>
    <x v="0"/>
    <x v="0"/>
    <n v="9"/>
    <n v="0.1125"/>
    <n v="4"/>
    <n v="0.05"/>
    <x v="0"/>
    <m/>
    <m/>
  </r>
  <r>
    <x v="2"/>
    <x v="1"/>
    <x v="3"/>
    <x v="0"/>
    <x v="108"/>
    <n v="218"/>
    <n v="203"/>
    <x v="0"/>
    <x v="0"/>
    <n v="14"/>
    <n v="6.8627450980392163E-2"/>
    <n v="1"/>
    <n v="4.9019607843137254E-3"/>
    <x v="0"/>
    <m/>
    <m/>
  </r>
  <r>
    <x v="2"/>
    <x v="1"/>
    <x v="3"/>
    <x v="1"/>
    <x v="124"/>
    <n v="258"/>
    <n v="243"/>
    <x v="0"/>
    <x v="0"/>
    <n v="5"/>
    <n v="1.9762845849802372E-2"/>
    <n v="10"/>
    <n v="3.9525691699604744E-2"/>
    <x v="0"/>
    <m/>
    <m/>
  </r>
  <r>
    <x v="2"/>
    <x v="1"/>
    <x v="3"/>
    <x v="2"/>
    <x v="125"/>
    <n v="249"/>
    <n v="259"/>
    <x v="0"/>
    <x v="0"/>
    <n v="2"/>
    <n v="7.9681274900398405E-3"/>
    <n v="8"/>
    <n v="3.1872509960159362E-2"/>
    <x v="0"/>
    <m/>
    <m/>
  </r>
  <r>
    <x v="2"/>
    <x v="1"/>
    <x v="3"/>
    <x v="3"/>
    <x v="126"/>
    <n v="251"/>
    <n v="189"/>
    <x v="0"/>
    <x v="0"/>
    <n v="58"/>
    <n v="0.30051813471502592"/>
    <n v="4"/>
    <n v="2.072538860103627E-2"/>
    <x v="0"/>
    <m/>
    <m/>
  </r>
  <r>
    <x v="2"/>
    <x v="1"/>
    <x v="3"/>
    <x v="4"/>
    <x v="127"/>
    <n v="277"/>
    <n v="229"/>
    <x v="0"/>
    <x v="0"/>
    <n v="55"/>
    <n v="0.24774774774774774"/>
    <n v="7"/>
    <n v="3.1531531531531529E-2"/>
    <x v="0"/>
    <m/>
    <m/>
  </r>
  <r>
    <x v="2"/>
    <x v="1"/>
    <x v="3"/>
    <x v="5"/>
    <x v="58"/>
    <n v="234"/>
    <n v="205"/>
    <x v="1"/>
    <x v="0"/>
    <n v="45"/>
    <n v="0.23809523809523808"/>
    <n v="16"/>
    <n v="8.4656084656084651E-2"/>
    <x v="0"/>
    <m/>
    <m/>
  </r>
  <r>
    <x v="2"/>
    <x v="1"/>
    <x v="3"/>
    <x v="6"/>
    <x v="112"/>
    <n v="190"/>
    <n v="207"/>
    <x v="0"/>
    <x v="0"/>
    <n v="5"/>
    <n v="2.564102564102564E-2"/>
    <n v="12"/>
    <n v="6.1538461538461542E-2"/>
    <x v="0"/>
    <m/>
    <m/>
  </r>
  <r>
    <x v="2"/>
    <x v="1"/>
    <x v="3"/>
    <x v="7"/>
    <x v="76"/>
    <n v="156"/>
    <n v="163"/>
    <x v="0"/>
    <x v="0"/>
    <n v="1"/>
    <n v="6.369426751592357E-3"/>
    <n v="6"/>
    <n v="3.8216560509554139E-2"/>
    <x v="0"/>
    <m/>
    <m/>
  </r>
  <r>
    <x v="2"/>
    <x v="1"/>
    <x v="3"/>
    <x v="8"/>
    <x v="63"/>
    <n v="148"/>
    <n v="140"/>
    <x v="0"/>
    <x v="0"/>
    <n v="4"/>
    <n v="2.6315789473684209E-2"/>
    <n v="12"/>
    <n v="7.8947368421052627E-2"/>
    <x v="0"/>
    <m/>
    <m/>
  </r>
  <r>
    <x v="2"/>
    <x v="1"/>
    <x v="3"/>
    <x v="9"/>
    <x v="16"/>
    <n v="169"/>
    <n v="126"/>
    <x v="1"/>
    <x v="0"/>
    <n v="30"/>
    <n v="0.21582733812949639"/>
    <n v="13"/>
    <n v="9.3525179856115109E-2"/>
    <x v="0"/>
    <m/>
    <m/>
  </r>
  <r>
    <x v="2"/>
    <x v="1"/>
    <x v="3"/>
    <x v="10"/>
    <x v="74"/>
    <n v="118"/>
    <n v="97"/>
    <x v="0"/>
    <x v="1"/>
    <n v="19"/>
    <n v="0.19191919191919191"/>
    <n v="2"/>
    <n v="2.0202020202020204E-2"/>
    <x v="0"/>
    <m/>
    <m/>
  </r>
  <r>
    <x v="2"/>
    <x v="1"/>
    <x v="3"/>
    <x v="11"/>
    <x v="60"/>
    <n v="192"/>
    <n v="174"/>
    <x v="0"/>
    <x v="0"/>
    <n v="21"/>
    <n v="0.12280701754385964"/>
    <n v="3"/>
    <n v="1.7543859649122806E-2"/>
    <x v="0"/>
    <m/>
    <m/>
  </r>
  <r>
    <x v="2"/>
    <x v="1"/>
    <x v="3"/>
    <x v="12"/>
    <x v="128"/>
    <n v="281"/>
    <n v="242"/>
    <x v="0"/>
    <x v="0"/>
    <n v="48"/>
    <n v="0.20600858369098712"/>
    <n v="9"/>
    <n v="3.8626609442060089E-2"/>
    <x v="0"/>
    <m/>
    <m/>
  </r>
  <r>
    <x v="2"/>
    <x v="1"/>
    <x v="3"/>
    <x v="13"/>
    <x v="129"/>
    <n v="236"/>
    <n v="205"/>
    <x v="0"/>
    <x v="0"/>
    <n v="34"/>
    <n v="0.16831683168316833"/>
    <n v="3"/>
    <n v="1.4851485148514851E-2"/>
    <x v="0"/>
    <m/>
    <m/>
  </r>
  <r>
    <x v="2"/>
    <x v="1"/>
    <x v="3"/>
    <x v="14"/>
    <x v="130"/>
    <n v="247"/>
    <n v="213"/>
    <x v="0"/>
    <x v="0"/>
    <n v="20"/>
    <n v="8.8105726872246701E-2"/>
    <n v="14"/>
    <n v="6.1674008810572688E-2"/>
    <x v="0"/>
    <m/>
    <m/>
  </r>
  <r>
    <x v="2"/>
    <x v="1"/>
    <x v="3"/>
    <x v="15"/>
    <x v="126"/>
    <n v="243"/>
    <n v="193"/>
    <x v="0"/>
    <x v="0"/>
    <n v="50"/>
    <n v="0.25906735751295334"/>
    <n v="0"/>
    <n v="0"/>
    <x v="0"/>
    <m/>
    <m/>
  </r>
  <r>
    <x v="2"/>
    <x v="1"/>
    <x v="3"/>
    <x v="16"/>
    <x v="25"/>
    <n v="140"/>
    <n v="99"/>
    <x v="0"/>
    <x v="1"/>
    <n v="29"/>
    <n v="0.26126126126126126"/>
    <n v="12"/>
    <n v="0.10810810810810811"/>
    <x v="0"/>
    <m/>
    <m/>
  </r>
  <r>
    <x v="2"/>
    <x v="1"/>
    <x v="3"/>
    <x v="17"/>
    <x v="131"/>
    <n v="294"/>
    <n v="225"/>
    <x v="0"/>
    <x v="0"/>
    <n v="76"/>
    <n v="0.34862385321100919"/>
    <n v="7"/>
    <n v="3.2110091743119268E-2"/>
    <x v="0"/>
    <m/>
    <m/>
  </r>
  <r>
    <x v="2"/>
    <x v="1"/>
    <x v="3"/>
    <x v="18"/>
    <x v="132"/>
    <n v="191"/>
    <n v="167"/>
    <x v="0"/>
    <x v="0"/>
    <n v="28"/>
    <n v="0.17177914110429449"/>
    <n v="4"/>
    <n v="2.4539877300613498E-2"/>
    <x v="0"/>
    <m/>
    <m/>
  </r>
  <r>
    <x v="2"/>
    <x v="1"/>
    <x v="3"/>
    <x v="19"/>
    <x v="63"/>
    <n v="165"/>
    <n v="147"/>
    <x v="0"/>
    <x v="0"/>
    <n v="13"/>
    <n v="8.5526315789473686E-2"/>
    <n v="5"/>
    <n v="3.2894736842105261E-2"/>
    <x v="0"/>
    <m/>
    <m/>
  </r>
  <r>
    <x v="2"/>
    <x v="1"/>
    <x v="3"/>
    <x v="20"/>
    <x v="76"/>
    <n v="188"/>
    <n v="141"/>
    <x v="1"/>
    <x v="0"/>
    <n v="31"/>
    <n v="0.19745222929936307"/>
    <n v="16"/>
    <n v="0.10191082802547771"/>
    <x v="0"/>
    <m/>
    <m/>
  </r>
  <r>
    <x v="2"/>
    <x v="1"/>
    <x v="3"/>
    <x v="21"/>
    <x v="76"/>
    <n v="181"/>
    <n v="156"/>
    <x v="0"/>
    <x v="0"/>
    <n v="24"/>
    <n v="0.15286624203821655"/>
    <n v="1"/>
    <n v="6.369426751592357E-3"/>
    <x v="0"/>
    <m/>
    <m/>
  </r>
  <r>
    <x v="2"/>
    <x v="1"/>
    <x v="3"/>
    <x v="22"/>
    <x v="133"/>
    <n v="178"/>
    <n v="160"/>
    <x v="1"/>
    <x v="0"/>
    <n v="4"/>
    <n v="2.2988505747126436E-2"/>
    <n v="14"/>
    <n v="8.0459770114942528E-2"/>
    <x v="0"/>
    <m/>
    <m/>
  </r>
  <r>
    <x v="2"/>
    <x v="1"/>
    <x v="3"/>
    <x v="23"/>
    <x v="112"/>
    <n v="225"/>
    <n v="185"/>
    <x v="0"/>
    <x v="0"/>
    <n v="30"/>
    <n v="0.15384615384615385"/>
    <n v="10"/>
    <n v="5.128205128205128E-2"/>
    <x v="0"/>
    <m/>
    <m/>
  </r>
  <r>
    <x v="3"/>
    <x v="1"/>
    <x v="0"/>
    <x v="0"/>
    <x v="93"/>
    <n v="85"/>
    <n v="82"/>
    <x v="0"/>
    <x v="0"/>
    <n v="8"/>
    <n v="0.1038961038961039"/>
    <n v="5"/>
    <n v="6.4935064935064929E-2"/>
    <x v="0"/>
    <m/>
    <m/>
  </r>
  <r>
    <x v="3"/>
    <x v="1"/>
    <x v="0"/>
    <x v="1"/>
    <x v="122"/>
    <n v="108"/>
    <n v="112"/>
    <x v="0"/>
    <x v="0"/>
    <n v="3"/>
    <n v="2.8571428571428571E-2"/>
    <n v="7"/>
    <n v="6.6666666666666666E-2"/>
    <x v="0"/>
    <m/>
    <m/>
  </r>
  <r>
    <x v="3"/>
    <x v="1"/>
    <x v="0"/>
    <x v="2"/>
    <x v="134"/>
    <n v="48"/>
    <n v="46"/>
    <x v="0"/>
    <x v="1"/>
    <n v="0"/>
    <n v="0"/>
    <n v="2"/>
    <n v="4.1666666666666664E-2"/>
    <x v="0"/>
    <m/>
    <m/>
  </r>
  <r>
    <x v="3"/>
    <x v="1"/>
    <x v="0"/>
    <x v="3"/>
    <x v="135"/>
    <n v="97"/>
    <n v="91"/>
    <x v="0"/>
    <x v="0"/>
    <n v="6"/>
    <n v="6.5934065934065936E-2"/>
    <n v="0"/>
    <n v="0"/>
    <x v="0"/>
    <m/>
    <m/>
  </r>
  <r>
    <x v="3"/>
    <x v="1"/>
    <x v="0"/>
    <x v="4"/>
    <x v="82"/>
    <n v="86"/>
    <n v="83"/>
    <x v="1"/>
    <x v="0"/>
    <n v="10"/>
    <n v="0.10416666666666667"/>
    <n v="13"/>
    <n v="0.13541666666666666"/>
    <x v="0"/>
    <m/>
    <m/>
  </r>
  <r>
    <x v="3"/>
    <x v="1"/>
    <x v="0"/>
    <x v="5"/>
    <x v="15"/>
    <n v="79"/>
    <n v="86"/>
    <x v="0"/>
    <x v="0"/>
    <n v="8"/>
    <n v="9.1954022988505746E-2"/>
    <n v="1"/>
    <n v="1.1494252873563218E-2"/>
    <x v="0"/>
    <m/>
    <m/>
  </r>
  <r>
    <x v="3"/>
    <x v="1"/>
    <x v="0"/>
    <x v="6"/>
    <x v="94"/>
    <n v="84"/>
    <n v="72"/>
    <x v="0"/>
    <x v="0"/>
    <n v="9"/>
    <n v="0.12"/>
    <n v="3"/>
    <n v="0.04"/>
    <x v="0"/>
    <m/>
    <m/>
  </r>
  <r>
    <x v="3"/>
    <x v="1"/>
    <x v="0"/>
    <x v="7"/>
    <x v="136"/>
    <n v="48"/>
    <n v="49"/>
    <x v="0"/>
    <x v="0"/>
    <n v="1"/>
    <n v="2.0408163265306121E-2"/>
    <n v="0"/>
    <n v="0"/>
    <x v="0"/>
    <m/>
    <m/>
  </r>
  <r>
    <x v="3"/>
    <x v="1"/>
    <x v="0"/>
    <x v="8"/>
    <x v="89"/>
    <n v="69"/>
    <n v="63"/>
    <x v="0"/>
    <x v="0"/>
    <n v="6"/>
    <n v="9.5238095238095233E-2"/>
    <n v="0"/>
    <n v="0"/>
    <x v="0"/>
    <m/>
    <m/>
  </r>
  <r>
    <x v="3"/>
    <x v="1"/>
    <x v="0"/>
    <x v="9"/>
    <x v="55"/>
    <n v="61"/>
    <n v="56"/>
    <x v="0"/>
    <x v="0"/>
    <n v="2"/>
    <n v="3.3898305084745763E-2"/>
    <n v="3"/>
    <n v="5.0847457627118647E-2"/>
    <x v="0"/>
    <m/>
    <m/>
  </r>
  <r>
    <x v="3"/>
    <x v="1"/>
    <x v="0"/>
    <x v="10"/>
    <x v="43"/>
    <n v="85"/>
    <n v="65"/>
    <x v="0"/>
    <x v="0"/>
    <n v="15"/>
    <n v="0.21428571428571427"/>
    <n v="5"/>
    <n v="7.1428571428571425E-2"/>
    <x v="0"/>
    <m/>
    <m/>
  </r>
  <r>
    <x v="3"/>
    <x v="1"/>
    <x v="0"/>
    <x v="11"/>
    <x v="95"/>
    <n v="65"/>
    <n v="70"/>
    <x v="0"/>
    <x v="0"/>
    <n v="2"/>
    <n v="2.9850746268656716E-2"/>
    <n v="3"/>
    <n v="4.4776119402985072E-2"/>
    <x v="0"/>
    <m/>
    <m/>
  </r>
  <r>
    <x v="3"/>
    <x v="1"/>
    <x v="0"/>
    <x v="12"/>
    <x v="27"/>
    <n v="93"/>
    <n v="103"/>
    <x v="0"/>
    <x v="0"/>
    <n v="0"/>
    <n v="0"/>
    <n v="10"/>
    <n v="0.10752688172043011"/>
    <x v="0"/>
    <m/>
    <m/>
  </r>
  <r>
    <x v="3"/>
    <x v="1"/>
    <x v="0"/>
    <x v="13"/>
    <x v="35"/>
    <n v="104"/>
    <n v="94"/>
    <x v="0"/>
    <x v="0"/>
    <n v="16"/>
    <n v="0.18181818181818182"/>
    <n v="6"/>
    <n v="6.8181818181818177E-2"/>
    <x v="0"/>
    <m/>
    <m/>
  </r>
  <r>
    <x v="3"/>
    <x v="1"/>
    <x v="0"/>
    <x v="14"/>
    <x v="28"/>
    <n v="98"/>
    <n v="110"/>
    <x v="0"/>
    <x v="0"/>
    <n v="2"/>
    <n v="0.02"/>
    <n v="10"/>
    <n v="0.1"/>
    <x v="0"/>
    <m/>
    <m/>
  </r>
  <r>
    <x v="3"/>
    <x v="1"/>
    <x v="0"/>
    <x v="15"/>
    <x v="51"/>
    <n v="96"/>
    <n v="95"/>
    <x v="0"/>
    <x v="0"/>
    <n v="1"/>
    <n v="1.0526315789473684E-2"/>
    <n v="0"/>
    <n v="0"/>
    <x v="0"/>
    <m/>
    <m/>
  </r>
  <r>
    <x v="3"/>
    <x v="1"/>
    <x v="0"/>
    <x v="16"/>
    <x v="102"/>
    <n v="72"/>
    <n v="80"/>
    <x v="0"/>
    <x v="0"/>
    <n v="4"/>
    <n v="5.2631578947368418E-2"/>
    <n v="4"/>
    <n v="5.2631578947368418E-2"/>
    <x v="0"/>
    <m/>
    <m/>
  </r>
  <r>
    <x v="3"/>
    <x v="1"/>
    <x v="0"/>
    <x v="17"/>
    <x v="21"/>
    <n v="86"/>
    <n v="76"/>
    <x v="0"/>
    <x v="0"/>
    <n v="12"/>
    <n v="0.16216216216216217"/>
    <n v="2"/>
    <n v="2.7027027027027029E-2"/>
    <x v="0"/>
    <m/>
    <m/>
  </r>
  <r>
    <x v="3"/>
    <x v="1"/>
    <x v="0"/>
    <x v="18"/>
    <x v="40"/>
    <n v="77"/>
    <n v="73"/>
    <x v="0"/>
    <x v="0"/>
    <n v="2"/>
    <n v="2.5316455696202531E-2"/>
    <n v="6"/>
    <n v="7.5949367088607597E-2"/>
    <x v="0"/>
    <m/>
    <m/>
  </r>
  <r>
    <x v="3"/>
    <x v="1"/>
    <x v="0"/>
    <x v="19"/>
    <x v="102"/>
    <n v="90"/>
    <n v="78"/>
    <x v="0"/>
    <x v="0"/>
    <n v="14"/>
    <n v="0.18421052631578946"/>
    <n v="2"/>
    <n v="2.6315789473684209E-2"/>
    <x v="0"/>
    <m/>
    <m/>
  </r>
  <r>
    <x v="3"/>
    <x v="1"/>
    <x v="0"/>
    <x v="20"/>
    <x v="55"/>
    <n v="67"/>
    <n v="59"/>
    <x v="0"/>
    <x v="0"/>
    <n v="8"/>
    <n v="0.13559322033898305"/>
    <n v="0"/>
    <n v="0"/>
    <x v="0"/>
    <m/>
    <m/>
  </r>
  <r>
    <x v="3"/>
    <x v="1"/>
    <x v="0"/>
    <x v="21"/>
    <x v="95"/>
    <n v="74"/>
    <n v="70"/>
    <x v="0"/>
    <x v="0"/>
    <n v="7"/>
    <n v="0.1044776119402985"/>
    <n v="3"/>
    <n v="4.4776119402985072E-2"/>
    <x v="0"/>
    <m/>
    <m/>
  </r>
  <r>
    <x v="3"/>
    <x v="1"/>
    <x v="0"/>
    <x v="22"/>
    <x v="53"/>
    <n v="54"/>
    <n v="70"/>
    <x v="0"/>
    <x v="0"/>
    <n v="10"/>
    <n v="0.15625"/>
    <n v="6"/>
    <n v="9.375E-2"/>
    <x v="0"/>
    <m/>
    <m/>
  </r>
  <r>
    <x v="3"/>
    <x v="1"/>
    <x v="0"/>
    <x v="23"/>
    <x v="10"/>
    <n v="73"/>
    <n v="70"/>
    <x v="1"/>
    <x v="0"/>
    <n v="2"/>
    <n v="2.8169014084507043E-2"/>
    <n v="1"/>
    <n v="1.4084507042253521E-2"/>
    <x v="0"/>
    <m/>
    <m/>
  </r>
  <r>
    <x v="3"/>
    <x v="1"/>
    <x v="1"/>
    <x v="0"/>
    <x v="137"/>
    <n v="196"/>
    <n v="172"/>
    <x v="0"/>
    <x v="0"/>
    <n v="21"/>
    <n v="0.12"/>
    <n v="3"/>
    <n v="1.7142857142857144E-2"/>
    <x v="0"/>
    <m/>
    <m/>
  </r>
  <r>
    <x v="3"/>
    <x v="1"/>
    <x v="1"/>
    <x v="1"/>
    <x v="138"/>
    <n v="255"/>
    <n v="232"/>
    <x v="1"/>
    <x v="0"/>
    <n v="35"/>
    <n v="0.15909090909090909"/>
    <n v="12"/>
    <n v="5.4545454545454543E-2"/>
    <x v="0"/>
    <m/>
    <m/>
  </r>
  <r>
    <x v="3"/>
    <x v="1"/>
    <x v="1"/>
    <x v="2"/>
    <x v="129"/>
    <n v="207"/>
    <n v="196"/>
    <x v="0"/>
    <x v="0"/>
    <n v="5"/>
    <n v="2.4752475247524754E-2"/>
    <n v="6"/>
    <n v="2.9702970297029702E-2"/>
    <x v="0"/>
    <m/>
    <m/>
  </r>
  <r>
    <x v="3"/>
    <x v="1"/>
    <x v="1"/>
    <x v="3"/>
    <x v="139"/>
    <n v="226"/>
    <n v="218"/>
    <x v="0"/>
    <x v="0"/>
    <n v="25"/>
    <n v="0.12437810945273632"/>
    <n v="17"/>
    <n v="8.45771144278607E-2"/>
    <x v="0"/>
    <m/>
    <m/>
  </r>
  <r>
    <x v="3"/>
    <x v="1"/>
    <x v="1"/>
    <x v="4"/>
    <x v="140"/>
    <n v="172"/>
    <n v="195"/>
    <x v="0"/>
    <x v="0"/>
    <n v="16"/>
    <n v="8.5106382978723402E-2"/>
    <n v="7"/>
    <n v="3.7234042553191488E-2"/>
    <x v="0"/>
    <m/>
    <m/>
  </r>
  <r>
    <x v="3"/>
    <x v="1"/>
    <x v="1"/>
    <x v="5"/>
    <x v="11"/>
    <n v="181"/>
    <n v="157"/>
    <x v="0"/>
    <x v="0"/>
    <n v="13"/>
    <n v="7.7380952380952384E-2"/>
    <n v="11"/>
    <n v="6.5476190476190479E-2"/>
    <x v="0"/>
    <m/>
    <m/>
  </r>
  <r>
    <x v="3"/>
    <x v="1"/>
    <x v="1"/>
    <x v="6"/>
    <x v="141"/>
    <n v="143"/>
    <n v="137"/>
    <x v="0"/>
    <x v="0"/>
    <n v="1"/>
    <n v="7.0422535211267607E-3"/>
    <n v="5"/>
    <n v="3.5211267605633804E-2"/>
    <x v="0"/>
    <m/>
    <m/>
  </r>
  <r>
    <x v="3"/>
    <x v="1"/>
    <x v="1"/>
    <x v="7"/>
    <x v="114"/>
    <n v="137"/>
    <n v="144"/>
    <x v="0"/>
    <x v="0"/>
    <n v="4"/>
    <n v="2.8368794326241134E-2"/>
    <n v="3"/>
    <n v="2.1276595744680851E-2"/>
    <x v="0"/>
    <m/>
    <m/>
  </r>
  <r>
    <x v="3"/>
    <x v="1"/>
    <x v="1"/>
    <x v="8"/>
    <x v="24"/>
    <n v="139"/>
    <n v="122"/>
    <x v="0"/>
    <x v="0"/>
    <n v="12"/>
    <n v="9.4488188976377951E-2"/>
    <n v="5"/>
    <n v="3.937007874015748E-2"/>
    <x v="0"/>
    <m/>
    <m/>
  </r>
  <r>
    <x v="3"/>
    <x v="1"/>
    <x v="1"/>
    <x v="9"/>
    <x v="141"/>
    <n v="142"/>
    <n v="138"/>
    <x v="1"/>
    <x v="0"/>
    <n v="0"/>
    <n v="0"/>
    <n v="4"/>
    <n v="2.8169014084507043E-2"/>
    <x v="0"/>
    <m/>
    <m/>
  </r>
  <r>
    <x v="3"/>
    <x v="1"/>
    <x v="1"/>
    <x v="10"/>
    <x v="118"/>
    <n v="179"/>
    <n v="171"/>
    <x v="0"/>
    <x v="0"/>
    <n v="9"/>
    <n v="5.2941176470588235E-2"/>
    <n v="1"/>
    <n v="5.8823529411764705E-3"/>
    <x v="0"/>
    <m/>
    <m/>
  </r>
  <r>
    <x v="3"/>
    <x v="1"/>
    <x v="1"/>
    <x v="11"/>
    <x v="142"/>
    <n v="166"/>
    <n v="188"/>
    <x v="0"/>
    <x v="0"/>
    <n v="11"/>
    <n v="6.2146892655367235E-2"/>
    <n v="11"/>
    <n v="6.2146892655367235E-2"/>
    <x v="0"/>
    <m/>
    <m/>
  </r>
  <r>
    <x v="3"/>
    <x v="1"/>
    <x v="1"/>
    <x v="12"/>
    <x v="11"/>
    <n v="226"/>
    <n v="163"/>
    <x v="1"/>
    <x v="0"/>
    <n v="58"/>
    <n v="0.34523809523809523"/>
    <n v="5"/>
    <n v="2.976190476190476E-2"/>
    <x v="0"/>
    <m/>
    <m/>
  </r>
  <r>
    <x v="3"/>
    <x v="1"/>
    <x v="1"/>
    <x v="13"/>
    <x v="126"/>
    <n v="250"/>
    <n v="204"/>
    <x v="0"/>
    <x v="0"/>
    <n v="57"/>
    <n v="0.29533678756476683"/>
    <n v="11"/>
    <n v="5.6994818652849742E-2"/>
    <x v="0"/>
    <m/>
    <m/>
  </r>
  <r>
    <x v="3"/>
    <x v="1"/>
    <x v="1"/>
    <x v="14"/>
    <x v="143"/>
    <n v="217"/>
    <n v="200"/>
    <x v="0"/>
    <x v="0"/>
    <n v="8"/>
    <n v="3.8277511961722487E-2"/>
    <n v="9"/>
    <n v="4.3062200956937802E-2"/>
    <x v="0"/>
    <m/>
    <m/>
  </r>
  <r>
    <x v="3"/>
    <x v="1"/>
    <x v="1"/>
    <x v="15"/>
    <x v="58"/>
    <n v="219"/>
    <n v="198"/>
    <x v="0"/>
    <x v="0"/>
    <n v="30"/>
    <n v="0.15873015873015872"/>
    <n v="9"/>
    <n v="4.7619047619047616E-2"/>
    <x v="0"/>
    <m/>
    <m/>
  </r>
  <r>
    <x v="3"/>
    <x v="1"/>
    <x v="1"/>
    <x v="16"/>
    <x v="76"/>
    <n v="168"/>
    <n v="151"/>
    <x v="1"/>
    <x v="0"/>
    <n v="11"/>
    <n v="7.0063694267515922E-2"/>
    <n v="6"/>
    <n v="3.8216560509554139E-2"/>
    <x v="0"/>
    <m/>
    <m/>
  </r>
  <r>
    <x v="3"/>
    <x v="1"/>
    <x v="1"/>
    <x v="17"/>
    <x v="18"/>
    <n v="163"/>
    <n v="135"/>
    <x v="0"/>
    <x v="0"/>
    <n v="32"/>
    <n v="0.24427480916030533"/>
    <n v="4"/>
    <n v="3.0534351145038167E-2"/>
    <x v="0"/>
    <m/>
    <m/>
  </r>
  <r>
    <x v="3"/>
    <x v="1"/>
    <x v="1"/>
    <x v="18"/>
    <x v="52"/>
    <n v="83"/>
    <n v="68"/>
    <x v="1"/>
    <x v="1"/>
    <n v="18"/>
    <n v="0.27692307692307694"/>
    <n v="3"/>
    <n v="4.6153846153846156E-2"/>
    <x v="0"/>
    <m/>
    <m/>
  </r>
  <r>
    <x v="3"/>
    <x v="1"/>
    <x v="1"/>
    <x v="19"/>
    <x v="114"/>
    <n v="148"/>
    <n v="148"/>
    <x v="0"/>
    <x v="0"/>
    <n v="7"/>
    <n v="4.9645390070921988E-2"/>
    <n v="7"/>
    <n v="4.9645390070921988E-2"/>
    <x v="0"/>
    <m/>
    <m/>
  </r>
  <r>
    <x v="3"/>
    <x v="1"/>
    <x v="1"/>
    <x v="20"/>
    <x v="144"/>
    <n v="120"/>
    <n v="123"/>
    <x v="0"/>
    <x v="0"/>
    <n v="3"/>
    <n v="2.4390243902439025E-2"/>
    <n v="0"/>
    <n v="0"/>
    <x v="0"/>
    <m/>
    <m/>
  </r>
  <r>
    <x v="3"/>
    <x v="1"/>
    <x v="1"/>
    <x v="21"/>
    <x v="45"/>
    <n v="57"/>
    <n v="50"/>
    <x v="0"/>
    <x v="1"/>
    <n v="2"/>
    <n v="3.6363636363636362E-2"/>
    <n v="5"/>
    <n v="9.0909090909090912E-2"/>
    <x v="0"/>
    <m/>
    <m/>
  </r>
  <r>
    <x v="3"/>
    <x v="1"/>
    <x v="1"/>
    <x v="22"/>
    <x v="145"/>
    <n v="159"/>
    <n v="144"/>
    <x v="1"/>
    <x v="0"/>
    <n v="6"/>
    <n v="3.9215686274509803E-2"/>
    <n v="9"/>
    <n v="5.8823529411764705E-2"/>
    <x v="0"/>
    <m/>
    <m/>
  </r>
  <r>
    <x v="3"/>
    <x v="1"/>
    <x v="1"/>
    <x v="23"/>
    <x v="68"/>
    <n v="125"/>
    <n v="125"/>
    <x v="0"/>
    <x v="0"/>
    <n v="10"/>
    <n v="8.6956521739130432E-2"/>
    <n v="10"/>
    <n v="8.6956521739130432E-2"/>
    <x v="0"/>
    <m/>
    <m/>
  </r>
  <r>
    <x v="3"/>
    <x v="1"/>
    <x v="2"/>
    <x v="0"/>
    <x v="56"/>
    <n v="204"/>
    <n v="192"/>
    <x v="0"/>
    <x v="0"/>
    <n v="18"/>
    <n v="9.6774193548387094E-2"/>
    <n v="6"/>
    <n v="3.2258064516129031E-2"/>
    <x v="0"/>
    <m/>
    <m/>
  </r>
  <r>
    <x v="3"/>
    <x v="1"/>
    <x v="2"/>
    <x v="1"/>
    <x v="115"/>
    <n v="250"/>
    <n v="197"/>
    <x v="0"/>
    <x v="0"/>
    <n v="45"/>
    <n v="0.21951219512195122"/>
    <n v="8"/>
    <n v="3.9024390243902439E-2"/>
    <x v="0"/>
    <m/>
    <m/>
  </r>
  <r>
    <x v="3"/>
    <x v="1"/>
    <x v="2"/>
    <x v="2"/>
    <x v="146"/>
    <n v="264"/>
    <n v="229"/>
    <x v="1"/>
    <x v="0"/>
    <n v="26"/>
    <n v="0.1092436974789916"/>
    <n v="9"/>
    <n v="3.7815126050420166E-2"/>
    <x v="0"/>
    <m/>
    <m/>
  </r>
  <r>
    <x v="3"/>
    <x v="1"/>
    <x v="2"/>
    <x v="3"/>
    <x v="147"/>
    <n v="245"/>
    <n v="218"/>
    <x v="1"/>
    <x v="0"/>
    <n v="47"/>
    <n v="0.23737373737373738"/>
    <n v="20"/>
    <n v="0.10101010101010101"/>
    <x v="0"/>
    <m/>
    <m/>
  </r>
  <r>
    <x v="3"/>
    <x v="1"/>
    <x v="2"/>
    <x v="4"/>
    <x v="119"/>
    <n v="219"/>
    <n v="199"/>
    <x v="0"/>
    <x v="0"/>
    <n v="27"/>
    <n v="0.140625"/>
    <n v="7"/>
    <n v="3.6458333333333336E-2"/>
    <x v="0"/>
    <m/>
    <m/>
  </r>
  <r>
    <x v="3"/>
    <x v="1"/>
    <x v="2"/>
    <x v="5"/>
    <x v="13"/>
    <n v="179"/>
    <n v="169"/>
    <x v="0"/>
    <x v="0"/>
    <n v="17"/>
    <n v="0.10493827160493827"/>
    <n v="7"/>
    <n v="4.3209876543209874E-2"/>
    <x v="0"/>
    <m/>
    <m/>
  </r>
  <r>
    <x v="3"/>
    <x v="1"/>
    <x v="2"/>
    <x v="6"/>
    <x v="14"/>
    <n v="216"/>
    <n v="151"/>
    <x v="1"/>
    <x v="0"/>
    <n v="58"/>
    <n v="0.36708860759493672"/>
    <n v="7"/>
    <n v="4.4303797468354431E-2"/>
    <x v="0"/>
    <m/>
    <m/>
  </r>
  <r>
    <x v="3"/>
    <x v="1"/>
    <x v="2"/>
    <x v="7"/>
    <x v="148"/>
    <n v="167"/>
    <n v="168"/>
    <x v="0"/>
    <x v="0"/>
    <n v="11"/>
    <n v="7.0512820512820512E-2"/>
    <n v="12"/>
    <n v="7.6923076923076927E-2"/>
    <x v="0"/>
    <m/>
    <m/>
  </r>
  <r>
    <x v="3"/>
    <x v="1"/>
    <x v="2"/>
    <x v="8"/>
    <x v="0"/>
    <n v="167"/>
    <n v="143"/>
    <x v="0"/>
    <x v="0"/>
    <n v="20"/>
    <n v="0.1360544217687075"/>
    <n v="4"/>
    <n v="2.7210884353741496E-2"/>
    <x v="0"/>
    <m/>
    <m/>
  </r>
  <r>
    <x v="3"/>
    <x v="1"/>
    <x v="2"/>
    <x v="9"/>
    <x v="6"/>
    <n v="170"/>
    <n v="131"/>
    <x v="0"/>
    <x v="0"/>
    <n v="44"/>
    <n v="0.34920634920634919"/>
    <n v="5"/>
    <n v="3.968253968253968E-2"/>
    <x v="0"/>
    <m/>
    <m/>
  </r>
  <r>
    <x v="3"/>
    <x v="1"/>
    <x v="2"/>
    <x v="10"/>
    <x v="141"/>
    <n v="157"/>
    <n v="134"/>
    <x v="0"/>
    <x v="0"/>
    <n v="15"/>
    <n v="0.10563380281690141"/>
    <n v="8"/>
    <n v="5.6338028169014086E-2"/>
    <x v="0"/>
    <m/>
    <m/>
  </r>
  <r>
    <x v="3"/>
    <x v="1"/>
    <x v="2"/>
    <x v="11"/>
    <x v="58"/>
    <n v="245"/>
    <n v="186"/>
    <x v="0"/>
    <x v="0"/>
    <n v="56"/>
    <n v="0.29629629629629628"/>
    <n v="3"/>
    <n v="1.5873015873015872E-2"/>
    <x v="0"/>
    <m/>
    <m/>
  </r>
  <r>
    <x v="3"/>
    <x v="1"/>
    <x v="2"/>
    <x v="12"/>
    <x v="58"/>
    <n v="198"/>
    <n v="168"/>
    <x v="0"/>
    <x v="0"/>
    <n v="9"/>
    <n v="4.7619047619047616E-2"/>
    <n v="21"/>
    <n v="0.1111111111111111"/>
    <x v="0"/>
    <m/>
    <m/>
  </r>
  <r>
    <x v="3"/>
    <x v="1"/>
    <x v="2"/>
    <x v="13"/>
    <x v="105"/>
    <n v="252"/>
    <n v="216"/>
    <x v="1"/>
    <x v="0"/>
    <n v="44"/>
    <n v="0.21153846153846154"/>
    <n v="8"/>
    <n v="3.8461538461538464E-2"/>
    <x v="0"/>
    <m/>
    <m/>
  </r>
  <r>
    <x v="3"/>
    <x v="1"/>
    <x v="2"/>
    <x v="14"/>
    <x v="119"/>
    <n v="226"/>
    <n v="207"/>
    <x v="0"/>
    <x v="0"/>
    <n v="34"/>
    <n v="0.17708333333333334"/>
    <n v="15"/>
    <n v="7.8125E-2"/>
    <x v="0"/>
    <m/>
    <m/>
  </r>
  <r>
    <x v="3"/>
    <x v="1"/>
    <x v="2"/>
    <x v="15"/>
    <x v="149"/>
    <n v="239"/>
    <n v="208"/>
    <x v="0"/>
    <x v="0"/>
    <n v="23"/>
    <n v="0.10648148148148148"/>
    <n v="8"/>
    <n v="3.7037037037037035E-2"/>
    <x v="0"/>
    <m/>
    <m/>
  </r>
  <r>
    <x v="3"/>
    <x v="1"/>
    <x v="2"/>
    <x v="16"/>
    <x v="150"/>
    <n v="232"/>
    <n v="164"/>
    <x v="0"/>
    <x v="0"/>
    <n v="47"/>
    <n v="0.25405405405405407"/>
    <n v="21"/>
    <n v="0.11351351351351352"/>
    <x v="0"/>
    <m/>
    <m/>
  </r>
  <r>
    <x v="3"/>
    <x v="1"/>
    <x v="2"/>
    <x v="17"/>
    <x v="57"/>
    <n v="171"/>
    <n v="154"/>
    <x v="0"/>
    <x v="0"/>
    <n v="12"/>
    <n v="7.5471698113207544E-2"/>
    <n v="5"/>
    <n v="3.1446540880503145E-2"/>
    <x v="0"/>
    <m/>
    <m/>
  </r>
  <r>
    <x v="3"/>
    <x v="1"/>
    <x v="2"/>
    <x v="18"/>
    <x v="0"/>
    <n v="180"/>
    <n v="154"/>
    <x v="0"/>
    <x v="0"/>
    <n v="33"/>
    <n v="0.22448979591836735"/>
    <n v="7"/>
    <n v="4.7619047619047616E-2"/>
    <x v="0"/>
    <m/>
    <m/>
  </r>
  <r>
    <x v="3"/>
    <x v="1"/>
    <x v="2"/>
    <x v="19"/>
    <x v="6"/>
    <n v="108"/>
    <n v="132"/>
    <x v="0"/>
    <x v="0"/>
    <n v="18"/>
    <n v="0.14285714285714285"/>
    <n v="6"/>
    <n v="4.7619047619047616E-2"/>
    <x v="0"/>
    <m/>
    <m/>
  </r>
  <r>
    <x v="3"/>
    <x v="1"/>
    <x v="2"/>
    <x v="20"/>
    <x v="84"/>
    <n v="151"/>
    <n v="135"/>
    <x v="0"/>
    <x v="0"/>
    <n v="31"/>
    <n v="0.25833333333333336"/>
    <n v="15"/>
    <n v="0.125"/>
    <x v="0"/>
    <m/>
    <m/>
  </r>
  <r>
    <x v="3"/>
    <x v="1"/>
    <x v="2"/>
    <x v="21"/>
    <x v="151"/>
    <n v="180"/>
    <n v="153"/>
    <x v="0"/>
    <x v="0"/>
    <n v="31"/>
    <n v="0.20805369127516779"/>
    <n v="4"/>
    <n v="2.6845637583892617E-2"/>
    <x v="0"/>
    <m/>
    <m/>
  </r>
  <r>
    <x v="3"/>
    <x v="1"/>
    <x v="2"/>
    <x v="22"/>
    <x v="152"/>
    <n v="178"/>
    <n v="156"/>
    <x v="0"/>
    <x v="0"/>
    <n v="13"/>
    <n v="7.8787878787878782E-2"/>
    <n v="9"/>
    <n v="5.4545454545454543E-2"/>
    <x v="0"/>
    <m/>
    <m/>
  </r>
  <r>
    <x v="3"/>
    <x v="1"/>
    <x v="2"/>
    <x v="23"/>
    <x v="142"/>
    <n v="185"/>
    <n v="180"/>
    <x v="0"/>
    <x v="0"/>
    <n v="8"/>
    <n v="4.519774011299435E-2"/>
    <n v="3"/>
    <n v="1.6949152542372881E-2"/>
    <x v="0"/>
    <m/>
    <m/>
  </r>
  <r>
    <x v="3"/>
    <x v="1"/>
    <x v="3"/>
    <x v="0"/>
    <x v="78"/>
    <n v="134"/>
    <n v="120"/>
    <x v="0"/>
    <x v="0"/>
    <n v="15"/>
    <n v="0.12605042016806722"/>
    <n v="1"/>
    <n v="8.4033613445378148E-3"/>
    <x v="0"/>
    <m/>
    <m/>
  </r>
  <r>
    <x v="3"/>
    <x v="1"/>
    <x v="3"/>
    <x v="1"/>
    <x v="141"/>
    <n v="147"/>
    <n v="128"/>
    <x v="0"/>
    <x v="0"/>
    <n v="5"/>
    <n v="3.5211267605633804E-2"/>
    <n v="14"/>
    <n v="9.8591549295774641E-2"/>
    <x v="0"/>
    <m/>
    <m/>
  </r>
  <r>
    <x v="3"/>
    <x v="1"/>
    <x v="3"/>
    <x v="2"/>
    <x v="30"/>
    <n v="118"/>
    <n v="136"/>
    <x v="1"/>
    <x v="0"/>
    <n v="22"/>
    <n v="0.15714285714285714"/>
    <n v="4"/>
    <n v="2.8571428571428571E-2"/>
    <x v="0"/>
    <m/>
    <m/>
  </r>
  <r>
    <x v="3"/>
    <x v="1"/>
    <x v="3"/>
    <x v="3"/>
    <x v="63"/>
    <n v="153"/>
    <n v="148"/>
    <x v="0"/>
    <x v="0"/>
    <n v="1"/>
    <n v="6.5789473684210523E-3"/>
    <n v="4"/>
    <n v="2.6315789473684209E-2"/>
    <x v="0"/>
    <m/>
    <m/>
  </r>
  <r>
    <x v="3"/>
    <x v="1"/>
    <x v="3"/>
    <x v="4"/>
    <x v="16"/>
    <n v="165"/>
    <n v="128"/>
    <x v="0"/>
    <x v="0"/>
    <n v="26"/>
    <n v="0.18705035971223022"/>
    <n v="11"/>
    <n v="7.9136690647482008E-2"/>
    <x v="0"/>
    <m/>
    <m/>
  </r>
  <r>
    <x v="3"/>
    <x v="1"/>
    <x v="3"/>
    <x v="5"/>
    <x v="153"/>
    <n v="141"/>
    <n v="132"/>
    <x v="1"/>
    <x v="0"/>
    <n v="9"/>
    <n v="6.8181818181818177E-2"/>
    <n v="0"/>
    <n v="0"/>
    <x v="0"/>
    <m/>
    <m/>
  </r>
  <r>
    <x v="3"/>
    <x v="1"/>
    <x v="3"/>
    <x v="6"/>
    <x v="32"/>
    <n v="112"/>
    <n v="115"/>
    <x v="0"/>
    <x v="0"/>
    <n v="6"/>
    <n v="5.0847457627118647E-2"/>
    <n v="3"/>
    <n v="2.5423728813559324E-2"/>
    <x v="0"/>
    <m/>
    <m/>
  </r>
  <r>
    <x v="3"/>
    <x v="1"/>
    <x v="3"/>
    <x v="7"/>
    <x v="29"/>
    <n v="122"/>
    <n v="107"/>
    <x v="1"/>
    <x v="0"/>
    <n v="20"/>
    <n v="0.19607843137254902"/>
    <n v="5"/>
    <n v="4.9019607843137254E-2"/>
    <x v="0"/>
    <m/>
    <m/>
  </r>
  <r>
    <x v="3"/>
    <x v="1"/>
    <x v="3"/>
    <x v="8"/>
    <x v="2"/>
    <n v="97"/>
    <n v="107"/>
    <x v="0"/>
    <x v="0"/>
    <n v="7"/>
    <n v="6.7307692307692304E-2"/>
    <n v="3"/>
    <n v="2.8846153846153848E-2"/>
    <x v="0"/>
    <m/>
    <m/>
  </r>
  <r>
    <x v="3"/>
    <x v="1"/>
    <x v="3"/>
    <x v="9"/>
    <x v="2"/>
    <n v="113"/>
    <n v="107"/>
    <x v="0"/>
    <x v="0"/>
    <n v="9"/>
    <n v="8.6538461538461536E-2"/>
    <n v="3"/>
    <n v="2.8846153846153848E-2"/>
    <x v="0"/>
    <m/>
    <m/>
  </r>
  <r>
    <x v="3"/>
    <x v="1"/>
    <x v="3"/>
    <x v="10"/>
    <x v="35"/>
    <n v="73"/>
    <n v="88"/>
    <x v="0"/>
    <x v="0"/>
    <n v="15"/>
    <n v="0.17045454545454544"/>
    <n v="0"/>
    <n v="0"/>
    <x v="0"/>
    <m/>
    <m/>
  </r>
  <r>
    <x v="3"/>
    <x v="1"/>
    <x v="3"/>
    <x v="11"/>
    <x v="52"/>
    <n v="68"/>
    <n v="61"/>
    <x v="0"/>
    <x v="1"/>
    <n v="3"/>
    <n v="4.6153846153846156E-2"/>
    <n v="4"/>
    <n v="6.1538461538461542E-2"/>
    <x v="0"/>
    <m/>
    <m/>
  </r>
  <r>
    <x v="3"/>
    <x v="1"/>
    <x v="3"/>
    <x v="12"/>
    <x v="6"/>
    <n v="139"/>
    <n v="123"/>
    <x v="0"/>
    <x v="0"/>
    <n v="13"/>
    <n v="0.10317460317460317"/>
    <n v="3"/>
    <n v="2.3809523809523808E-2"/>
    <x v="0"/>
    <m/>
    <m/>
  </r>
  <r>
    <x v="3"/>
    <x v="1"/>
    <x v="3"/>
    <x v="13"/>
    <x v="154"/>
    <n v="171"/>
    <n v="144"/>
    <x v="1"/>
    <x v="0"/>
    <n v="23"/>
    <n v="0.1554054054054054"/>
    <n v="4"/>
    <n v="2.7027027027027029E-2"/>
    <x v="0"/>
    <m/>
    <m/>
  </r>
  <r>
    <x v="3"/>
    <x v="1"/>
    <x v="3"/>
    <x v="14"/>
    <x v="73"/>
    <n v="146"/>
    <n v="139"/>
    <x v="0"/>
    <x v="0"/>
    <n v="0"/>
    <n v="0"/>
    <n v="7"/>
    <n v="4.7945205479452052E-2"/>
    <x v="0"/>
    <m/>
    <m/>
  </r>
  <r>
    <x v="3"/>
    <x v="1"/>
    <x v="3"/>
    <x v="15"/>
    <x v="16"/>
    <n v="122"/>
    <n v="136"/>
    <x v="0"/>
    <x v="0"/>
    <n v="17"/>
    <n v="0.1223021582733813"/>
    <n v="3"/>
    <n v="2.1582733812949641E-2"/>
    <x v="0"/>
    <m/>
    <m/>
  </r>
  <r>
    <x v="3"/>
    <x v="1"/>
    <x v="3"/>
    <x v="16"/>
    <x v="155"/>
    <n v="140"/>
    <n v="146"/>
    <x v="0"/>
    <x v="0"/>
    <n v="3"/>
    <n v="2.097902097902098E-2"/>
    <n v="3"/>
    <n v="2.097902097902098E-2"/>
    <x v="0"/>
    <m/>
    <m/>
  </r>
  <r>
    <x v="3"/>
    <x v="1"/>
    <x v="3"/>
    <x v="17"/>
    <x v="156"/>
    <n v="146"/>
    <n v="123"/>
    <x v="0"/>
    <x v="0"/>
    <n v="18"/>
    <n v="0.140625"/>
    <n v="5"/>
    <n v="3.90625E-2"/>
    <x v="0"/>
    <m/>
    <m/>
  </r>
  <r>
    <x v="3"/>
    <x v="1"/>
    <x v="3"/>
    <x v="18"/>
    <x v="66"/>
    <n v="105"/>
    <n v="99"/>
    <x v="0"/>
    <x v="0"/>
    <n v="7"/>
    <n v="7.1428571428571425E-2"/>
    <n v="1"/>
    <n v="1.020408163265306E-2"/>
    <x v="0"/>
    <m/>
    <m/>
  </r>
  <r>
    <x v="3"/>
    <x v="1"/>
    <x v="3"/>
    <x v="19"/>
    <x v="80"/>
    <n v="118"/>
    <n v="111"/>
    <x v="0"/>
    <x v="0"/>
    <n v="10"/>
    <n v="9.2592592592592587E-2"/>
    <n v="3"/>
    <n v="2.7777777777777776E-2"/>
    <x v="0"/>
    <m/>
    <m/>
  </r>
  <r>
    <x v="3"/>
    <x v="1"/>
    <x v="3"/>
    <x v="20"/>
    <x v="28"/>
    <n v="133"/>
    <n v="90"/>
    <x v="1"/>
    <x v="0"/>
    <n v="33"/>
    <n v="0.33"/>
    <n v="10"/>
    <n v="0.1"/>
    <x v="0"/>
    <m/>
    <m/>
  </r>
  <r>
    <x v="3"/>
    <x v="1"/>
    <x v="3"/>
    <x v="21"/>
    <x v="157"/>
    <n v="104"/>
    <n v="91"/>
    <x v="0"/>
    <x v="0"/>
    <n v="14"/>
    <n v="0.15555555555555556"/>
    <n v="1"/>
    <n v="1.1111111111111112E-2"/>
    <x v="0"/>
    <m/>
    <m/>
  </r>
  <r>
    <x v="3"/>
    <x v="1"/>
    <x v="3"/>
    <x v="22"/>
    <x v="78"/>
    <n v="147"/>
    <n v="112"/>
    <x v="0"/>
    <x v="0"/>
    <n v="28"/>
    <n v="0.23529411764705882"/>
    <n v="7"/>
    <n v="5.8823529411764705E-2"/>
    <x v="0"/>
    <m/>
    <m/>
  </r>
  <r>
    <x v="3"/>
    <x v="1"/>
    <x v="3"/>
    <x v="23"/>
    <x v="24"/>
    <n v="132"/>
    <n v="111"/>
    <x v="0"/>
    <x v="0"/>
    <n v="5"/>
    <n v="3.937007874015748E-2"/>
    <n v="16"/>
    <n v="0.12598425196850394"/>
    <x v="0"/>
    <m/>
    <m/>
  </r>
  <r>
    <x v="4"/>
    <x v="2"/>
    <x v="0"/>
    <x v="0"/>
    <x v="1"/>
    <n v="154"/>
    <n v="167"/>
    <x v="0"/>
    <x v="0"/>
    <n v="7"/>
    <n v="4.3478260869565216E-2"/>
    <n v="6"/>
    <n v="3.7267080745341616E-2"/>
    <x v="0"/>
    <m/>
    <m/>
  </r>
  <r>
    <x v="4"/>
    <x v="2"/>
    <x v="0"/>
    <x v="1"/>
    <x v="1"/>
    <n v="134"/>
    <n v="140"/>
    <x v="0"/>
    <x v="0"/>
    <n v="27"/>
    <n v="0.16770186335403728"/>
    <n v="21"/>
    <n v="0.13043478260869565"/>
    <x v="0"/>
    <m/>
    <m/>
  </r>
  <r>
    <x v="4"/>
    <x v="2"/>
    <x v="0"/>
    <x v="2"/>
    <x v="114"/>
    <n v="100"/>
    <n v="147"/>
    <x v="0"/>
    <x v="0"/>
    <n v="41"/>
    <n v="0.29078014184397161"/>
    <n v="6"/>
    <n v="4.2553191489361701E-2"/>
    <x v="0"/>
    <m/>
    <m/>
  </r>
  <r>
    <x v="4"/>
    <x v="2"/>
    <x v="0"/>
    <x v="3"/>
    <x v="112"/>
    <n v="196"/>
    <n v="197"/>
    <x v="1"/>
    <x v="0"/>
    <n v="1"/>
    <n v="5.1282051282051282E-3"/>
    <n v="2"/>
    <n v="1.0256410256410256E-2"/>
    <x v="0"/>
    <m/>
    <m/>
  </r>
  <r>
    <x v="4"/>
    <x v="2"/>
    <x v="0"/>
    <x v="4"/>
    <x v="6"/>
    <n v="119"/>
    <n v="122"/>
    <x v="0"/>
    <x v="0"/>
    <n v="7"/>
    <n v="5.5555555555555552E-2"/>
    <n v="4"/>
    <n v="3.1746031746031744E-2"/>
    <x v="0"/>
    <m/>
    <m/>
  </r>
  <r>
    <x v="4"/>
    <x v="2"/>
    <x v="0"/>
    <x v="5"/>
    <x v="59"/>
    <n v="141"/>
    <n v="129"/>
    <x v="0"/>
    <x v="0"/>
    <n v="8"/>
    <n v="6.0150375939849621E-2"/>
    <n v="4"/>
    <n v="3.007518796992481E-2"/>
    <x v="0"/>
    <m/>
    <m/>
  </r>
  <r>
    <x v="4"/>
    <x v="2"/>
    <x v="0"/>
    <x v="6"/>
    <x v="87"/>
    <n v="114"/>
    <n v="114"/>
    <x v="0"/>
    <x v="0"/>
    <n v="2"/>
    <n v="1.7241379310344827E-2"/>
    <n v="2"/>
    <n v="1.7241379310344827E-2"/>
    <x v="0"/>
    <m/>
    <m/>
  </r>
  <r>
    <x v="4"/>
    <x v="2"/>
    <x v="0"/>
    <x v="7"/>
    <x v="97"/>
    <n v="52"/>
    <n v="52"/>
    <x v="0"/>
    <x v="1"/>
    <n v="4"/>
    <n v="7.1428571428571425E-2"/>
    <n v="4"/>
    <n v="7.1428571428571425E-2"/>
    <x v="0"/>
    <m/>
    <m/>
  </r>
  <r>
    <x v="4"/>
    <x v="2"/>
    <x v="0"/>
    <x v="8"/>
    <x v="51"/>
    <n v="100"/>
    <n v="89"/>
    <x v="0"/>
    <x v="0"/>
    <n v="5"/>
    <n v="5.2631578947368418E-2"/>
    <n v="6"/>
    <n v="6.3157894736842107E-2"/>
    <x v="0"/>
    <m/>
    <m/>
  </r>
  <r>
    <x v="4"/>
    <x v="2"/>
    <x v="0"/>
    <x v="9"/>
    <x v="158"/>
    <n v="63"/>
    <n v="62"/>
    <x v="0"/>
    <x v="1"/>
    <n v="2"/>
    <n v="3.2786885245901641E-2"/>
    <n v="1"/>
    <n v="1.6393442622950821E-2"/>
    <x v="0"/>
    <m/>
    <m/>
  </r>
  <r>
    <x v="4"/>
    <x v="2"/>
    <x v="0"/>
    <x v="10"/>
    <x v="87"/>
    <n v="120"/>
    <n v="122"/>
    <x v="0"/>
    <x v="0"/>
    <n v="4"/>
    <n v="3.4482758620689655E-2"/>
    <n v="6"/>
    <n v="5.1724137931034482E-2"/>
    <x v="0"/>
    <m/>
    <m/>
  </r>
  <r>
    <x v="4"/>
    <x v="2"/>
    <x v="0"/>
    <x v="11"/>
    <x v="141"/>
    <n v="155"/>
    <n v="157"/>
    <x v="0"/>
    <x v="0"/>
    <n v="13"/>
    <n v="9.154929577464789E-2"/>
    <n v="15"/>
    <n v="0.10563380281690141"/>
    <x v="0"/>
    <m/>
    <m/>
  </r>
  <r>
    <x v="4"/>
    <x v="2"/>
    <x v="0"/>
    <x v="12"/>
    <x v="152"/>
    <n v="148"/>
    <n v="179"/>
    <x v="1"/>
    <x v="0"/>
    <n v="17"/>
    <n v="0.10303030303030303"/>
    <n v="14"/>
    <n v="8.4848484848484854E-2"/>
    <x v="0"/>
    <m/>
    <m/>
  </r>
  <r>
    <x v="4"/>
    <x v="2"/>
    <x v="0"/>
    <x v="13"/>
    <x v="114"/>
    <n v="138"/>
    <n v="158"/>
    <x v="0"/>
    <x v="0"/>
    <n v="3"/>
    <n v="2.1276595744680851E-2"/>
    <n v="17"/>
    <n v="0.12056737588652482"/>
    <x v="0"/>
    <m/>
    <m/>
  </r>
  <r>
    <x v="4"/>
    <x v="2"/>
    <x v="0"/>
    <x v="14"/>
    <x v="76"/>
    <n v="148"/>
    <n v="167"/>
    <x v="0"/>
    <x v="0"/>
    <n v="9"/>
    <n v="5.7324840764331211E-2"/>
    <n v="10"/>
    <n v="6.3694267515923567E-2"/>
    <x v="0"/>
    <m/>
    <m/>
  </r>
  <r>
    <x v="4"/>
    <x v="2"/>
    <x v="0"/>
    <x v="15"/>
    <x v="118"/>
    <n v="171"/>
    <n v="186"/>
    <x v="0"/>
    <x v="0"/>
    <n v="1"/>
    <n v="5.8823529411764705E-3"/>
    <n v="16"/>
    <n v="9.4117647058823528E-2"/>
    <x v="0"/>
    <m/>
    <m/>
  </r>
  <r>
    <x v="4"/>
    <x v="2"/>
    <x v="0"/>
    <x v="16"/>
    <x v="65"/>
    <n v="153"/>
    <n v="155"/>
    <x v="0"/>
    <x v="0"/>
    <n v="7"/>
    <n v="4.3749999999999997E-2"/>
    <n v="5"/>
    <n v="3.125E-2"/>
    <x v="0"/>
    <m/>
    <m/>
  </r>
  <r>
    <x v="4"/>
    <x v="2"/>
    <x v="0"/>
    <x v="17"/>
    <x v="155"/>
    <n v="137"/>
    <n v="138"/>
    <x v="0"/>
    <x v="0"/>
    <n v="6"/>
    <n v="4.195804195804196E-2"/>
    <n v="5"/>
    <n v="3.4965034965034968E-2"/>
    <x v="0"/>
    <m/>
    <m/>
  </r>
  <r>
    <x v="4"/>
    <x v="2"/>
    <x v="0"/>
    <x v="18"/>
    <x v="20"/>
    <n v="109"/>
    <n v="123"/>
    <x v="1"/>
    <x v="0"/>
    <n v="13"/>
    <n v="0.10655737704918032"/>
    <n v="1"/>
    <n v="8.1967213114754103E-3"/>
    <x v="0"/>
    <m/>
    <m/>
  </r>
  <r>
    <x v="4"/>
    <x v="2"/>
    <x v="0"/>
    <x v="19"/>
    <x v="144"/>
    <n v="147"/>
    <n v="114"/>
    <x v="0"/>
    <x v="0"/>
    <n v="24"/>
    <n v="0.1951219512195122"/>
    <n v="9"/>
    <n v="7.3170731707317069E-2"/>
    <x v="0"/>
    <m/>
    <m/>
  </r>
  <r>
    <x v="4"/>
    <x v="2"/>
    <x v="0"/>
    <x v="20"/>
    <x v="122"/>
    <n v="101"/>
    <n v="108"/>
    <x v="1"/>
    <x v="0"/>
    <n v="4"/>
    <n v="3.8095238095238099E-2"/>
    <n v="3"/>
    <n v="2.8571428571428571E-2"/>
    <x v="0"/>
    <m/>
    <m/>
  </r>
  <r>
    <x v="4"/>
    <x v="2"/>
    <x v="0"/>
    <x v="21"/>
    <x v="50"/>
    <n v="78"/>
    <n v="84"/>
    <x v="0"/>
    <x v="0"/>
    <n v="6"/>
    <n v="7.1428571428571425E-2"/>
    <n v="0"/>
    <n v="0"/>
    <x v="0"/>
    <m/>
    <m/>
  </r>
  <r>
    <x v="4"/>
    <x v="2"/>
    <x v="0"/>
    <x v="22"/>
    <x v="159"/>
    <n v="47"/>
    <n v="65"/>
    <x v="1"/>
    <x v="1"/>
    <n v="15"/>
    <n v="0.24193548387096775"/>
    <n v="3"/>
    <n v="4.8387096774193547E-2"/>
    <x v="0"/>
    <m/>
    <m/>
  </r>
  <r>
    <x v="4"/>
    <x v="2"/>
    <x v="0"/>
    <x v="23"/>
    <x v="156"/>
    <n v="126"/>
    <n v="135"/>
    <x v="0"/>
    <x v="0"/>
    <n v="2"/>
    <n v="1.5625E-2"/>
    <n v="7"/>
    <n v="5.46875E-2"/>
    <x v="0"/>
    <m/>
    <m/>
  </r>
  <r>
    <x v="4"/>
    <x v="2"/>
    <x v="1"/>
    <x v="0"/>
    <x v="1"/>
    <n v="174"/>
    <n v="160"/>
    <x v="0"/>
    <x v="0"/>
    <n v="13"/>
    <n v="8.0745341614906832E-2"/>
    <n v="1"/>
    <n v="6.2111801242236021E-3"/>
    <x v="0"/>
    <m/>
    <m/>
  </r>
  <r>
    <x v="4"/>
    <x v="2"/>
    <x v="1"/>
    <x v="1"/>
    <x v="160"/>
    <n v="173"/>
    <n v="181"/>
    <x v="1"/>
    <x v="0"/>
    <n v="17"/>
    <n v="8.9473684210526316E-2"/>
    <n v="9"/>
    <n v="4.736842105263158E-2"/>
    <x v="0"/>
    <m/>
    <m/>
  </r>
  <r>
    <x v="4"/>
    <x v="2"/>
    <x v="1"/>
    <x v="2"/>
    <x v="147"/>
    <n v="211"/>
    <n v="184"/>
    <x v="0"/>
    <x v="0"/>
    <n v="13"/>
    <n v="6.5656565656565663E-2"/>
    <n v="14"/>
    <n v="7.0707070707070704E-2"/>
    <x v="0"/>
    <m/>
    <m/>
  </r>
  <r>
    <x v="4"/>
    <x v="2"/>
    <x v="1"/>
    <x v="3"/>
    <x v="152"/>
    <n v="177"/>
    <n v="166"/>
    <x v="0"/>
    <x v="0"/>
    <n v="12"/>
    <n v="7.2727272727272724E-2"/>
    <n v="1"/>
    <n v="6.0606060606060606E-3"/>
    <x v="0"/>
    <m/>
    <m/>
  </r>
  <r>
    <x v="4"/>
    <x v="2"/>
    <x v="1"/>
    <x v="4"/>
    <x v="110"/>
    <n v="201"/>
    <n v="169"/>
    <x v="0"/>
    <x v="0"/>
    <n v="20"/>
    <n v="0.11049723756906077"/>
    <n v="12"/>
    <n v="6.6298342541436461E-2"/>
    <x v="0"/>
    <m/>
    <m/>
  </r>
  <r>
    <x v="4"/>
    <x v="2"/>
    <x v="1"/>
    <x v="5"/>
    <x v="161"/>
    <n v="197"/>
    <n v="163"/>
    <x v="0"/>
    <x v="0"/>
    <n v="30"/>
    <n v="0.17964071856287425"/>
    <n v="4"/>
    <n v="2.3952095808383235E-2"/>
    <x v="0"/>
    <m/>
    <m/>
  </r>
  <r>
    <x v="4"/>
    <x v="2"/>
    <x v="1"/>
    <x v="6"/>
    <x v="162"/>
    <n v="192"/>
    <n v="183"/>
    <x v="0"/>
    <x v="0"/>
    <n v="14"/>
    <n v="7.8651685393258425E-2"/>
    <n v="5"/>
    <n v="2.8089887640449437E-2"/>
    <x v="0"/>
    <m/>
    <m/>
  </r>
  <r>
    <x v="4"/>
    <x v="2"/>
    <x v="1"/>
    <x v="7"/>
    <x v="111"/>
    <n v="142"/>
    <n v="126"/>
    <x v="0"/>
    <x v="0"/>
    <n v="13"/>
    <n v="0.10077519379844961"/>
    <n v="3"/>
    <n v="2.3255813953488372E-2"/>
    <x v="0"/>
    <m/>
    <m/>
  </r>
  <r>
    <x v="4"/>
    <x v="2"/>
    <x v="1"/>
    <x v="8"/>
    <x v="84"/>
    <n v="141"/>
    <n v="126"/>
    <x v="0"/>
    <x v="0"/>
    <n v="21"/>
    <n v="0.17499999999999999"/>
    <n v="6"/>
    <n v="0.05"/>
    <x v="0"/>
    <m/>
    <m/>
  </r>
  <r>
    <x v="4"/>
    <x v="2"/>
    <x v="1"/>
    <x v="9"/>
    <x v="24"/>
    <n v="137"/>
    <n v="126"/>
    <x v="0"/>
    <x v="0"/>
    <n v="10"/>
    <n v="7.874015748031496E-2"/>
    <n v="1"/>
    <n v="7.874015748031496E-3"/>
    <x v="0"/>
    <m/>
    <m/>
  </r>
  <r>
    <x v="4"/>
    <x v="2"/>
    <x v="1"/>
    <x v="10"/>
    <x v="102"/>
    <n v="73"/>
    <n v="69"/>
    <x v="0"/>
    <x v="1"/>
    <n v="3"/>
    <n v="3.9473684210526314E-2"/>
    <n v="7"/>
    <n v="9.2105263157894732E-2"/>
    <x v="0"/>
    <m/>
    <m/>
  </r>
  <r>
    <x v="4"/>
    <x v="2"/>
    <x v="1"/>
    <x v="11"/>
    <x v="163"/>
    <n v="202"/>
    <n v="197"/>
    <x v="0"/>
    <x v="0"/>
    <n v="19"/>
    <n v="0.10382513661202186"/>
    <n v="14"/>
    <n v="7.650273224043716E-2"/>
    <x v="0"/>
    <m/>
    <m/>
  </r>
  <r>
    <x v="4"/>
    <x v="2"/>
    <x v="1"/>
    <x v="12"/>
    <x v="60"/>
    <n v="183"/>
    <n v="163"/>
    <x v="0"/>
    <x v="0"/>
    <n v="12"/>
    <n v="7.0175438596491224E-2"/>
    <n v="8"/>
    <n v="4.6783625730994149E-2"/>
    <x v="0"/>
    <m/>
    <m/>
  </r>
  <r>
    <x v="4"/>
    <x v="2"/>
    <x v="1"/>
    <x v="13"/>
    <x v="164"/>
    <n v="206"/>
    <n v="175"/>
    <x v="1"/>
    <x v="0"/>
    <n v="12"/>
    <n v="6.1855670103092786E-2"/>
    <n v="19"/>
    <n v="9.7938144329896906E-2"/>
    <x v="0"/>
    <m/>
    <m/>
  </r>
  <r>
    <x v="4"/>
    <x v="2"/>
    <x v="1"/>
    <x v="14"/>
    <x v="165"/>
    <n v="229"/>
    <n v="236"/>
    <x v="0"/>
    <x v="0"/>
    <n v="10"/>
    <n v="4.1841004184100417E-2"/>
    <n v="3"/>
    <n v="1.2552301255230125E-2"/>
    <x v="0"/>
    <m/>
    <m/>
  </r>
  <r>
    <x v="4"/>
    <x v="2"/>
    <x v="1"/>
    <x v="15"/>
    <x v="166"/>
    <n v="175"/>
    <n v="188"/>
    <x v="0"/>
    <x v="0"/>
    <n v="31"/>
    <n v="0.15048543689320387"/>
    <n v="18"/>
    <n v="8.7378640776699032E-2"/>
    <x v="0"/>
    <m/>
    <m/>
  </r>
  <r>
    <x v="4"/>
    <x v="2"/>
    <x v="1"/>
    <x v="16"/>
    <x v="67"/>
    <n v="217"/>
    <n v="169"/>
    <x v="0"/>
    <x v="0"/>
    <n v="38"/>
    <n v="0.21229050279329609"/>
    <n v="10"/>
    <n v="5.5865921787709494E-2"/>
    <x v="0"/>
    <m/>
    <m/>
  </r>
  <r>
    <x v="4"/>
    <x v="2"/>
    <x v="1"/>
    <x v="17"/>
    <x v="61"/>
    <n v="173"/>
    <n v="144"/>
    <x v="0"/>
    <x v="0"/>
    <n v="22"/>
    <n v="0.14569536423841059"/>
    <n v="7"/>
    <n v="4.6357615894039736E-2"/>
    <x v="0"/>
    <m/>
    <m/>
  </r>
  <r>
    <x v="4"/>
    <x v="2"/>
    <x v="1"/>
    <x v="18"/>
    <x v="157"/>
    <n v="100"/>
    <n v="94"/>
    <x v="1"/>
    <x v="1"/>
    <n v="10"/>
    <n v="0.1111111111111111"/>
    <n v="4"/>
    <n v="4.4444444444444446E-2"/>
    <x v="0"/>
    <m/>
    <m/>
  </r>
  <r>
    <x v="4"/>
    <x v="2"/>
    <x v="1"/>
    <x v="19"/>
    <x v="155"/>
    <n v="174"/>
    <n v="144"/>
    <x v="0"/>
    <x v="0"/>
    <n v="31"/>
    <n v="0.21678321678321677"/>
    <n v="1"/>
    <n v="6.993006993006993E-3"/>
    <x v="0"/>
    <m/>
    <m/>
  </r>
  <r>
    <x v="4"/>
    <x v="2"/>
    <x v="1"/>
    <x v="20"/>
    <x v="0"/>
    <n v="136"/>
    <n v="148"/>
    <x v="1"/>
    <x v="0"/>
    <n v="11"/>
    <n v="7.4829931972789115E-2"/>
    <n v="1"/>
    <n v="6.8027210884353739E-3"/>
    <x v="0"/>
    <m/>
    <m/>
  </r>
  <r>
    <x v="4"/>
    <x v="2"/>
    <x v="1"/>
    <x v="21"/>
    <x v="77"/>
    <n v="169"/>
    <n v="133"/>
    <x v="0"/>
    <x v="0"/>
    <n v="31"/>
    <n v="0.22463768115942029"/>
    <n v="5"/>
    <n v="3.6231884057971016E-2"/>
    <x v="0"/>
    <m/>
    <m/>
  </r>
  <r>
    <x v="4"/>
    <x v="2"/>
    <x v="1"/>
    <x v="22"/>
    <x v="67"/>
    <n v="206"/>
    <n v="194"/>
    <x v="0"/>
    <x v="0"/>
    <n v="27"/>
    <n v="0.15083798882681565"/>
    <n v="15"/>
    <n v="8.3798882681564241E-2"/>
    <x v="0"/>
    <m/>
    <m/>
  </r>
  <r>
    <x v="4"/>
    <x v="2"/>
    <x v="1"/>
    <x v="23"/>
    <x v="167"/>
    <n v="195"/>
    <n v="182"/>
    <x v="0"/>
    <x v="0"/>
    <n v="19"/>
    <n v="0.10795454545454546"/>
    <n v="6"/>
    <n v="3.4090909090909088E-2"/>
    <x v="0"/>
    <m/>
    <m/>
  </r>
  <r>
    <x v="4"/>
    <x v="2"/>
    <x v="2"/>
    <x v="0"/>
    <x v="67"/>
    <n v="174"/>
    <n v="172"/>
    <x v="1"/>
    <x v="0"/>
    <n v="5"/>
    <n v="2.7932960893854747E-2"/>
    <n v="7"/>
    <n v="3.9106145251396648E-2"/>
    <x v="0"/>
    <m/>
    <m/>
  </r>
  <r>
    <x v="4"/>
    <x v="2"/>
    <x v="2"/>
    <x v="1"/>
    <x v="85"/>
    <n v="116"/>
    <n v="102"/>
    <x v="1"/>
    <x v="1"/>
    <n v="13"/>
    <n v="0.12621359223300971"/>
    <n v="1"/>
    <n v="9.7087378640776691E-3"/>
    <x v="0"/>
    <m/>
    <m/>
  </r>
  <r>
    <x v="4"/>
    <x v="2"/>
    <x v="2"/>
    <x v="2"/>
    <x v="168"/>
    <n v="228"/>
    <n v="247"/>
    <x v="0"/>
    <x v="0"/>
    <n v="19"/>
    <n v="7.6923076923076927E-2"/>
    <n v="0"/>
    <n v="0"/>
    <x v="0"/>
    <m/>
    <m/>
  </r>
  <r>
    <x v="4"/>
    <x v="2"/>
    <x v="2"/>
    <x v="3"/>
    <x v="128"/>
    <n v="174"/>
    <n v="235"/>
    <x v="0"/>
    <x v="0"/>
    <n v="59"/>
    <n v="0.25321888412017168"/>
    <n v="2"/>
    <n v="8.5836909871244635E-3"/>
    <x v="0"/>
    <m/>
    <m/>
  </r>
  <r>
    <x v="4"/>
    <x v="2"/>
    <x v="2"/>
    <x v="4"/>
    <x v="107"/>
    <n v="217"/>
    <n v="225"/>
    <x v="0"/>
    <x v="0"/>
    <n v="0"/>
    <n v="0"/>
    <n v="8"/>
    <n v="3.6866359447004608E-2"/>
    <x v="0"/>
    <m/>
    <m/>
  </r>
  <r>
    <x v="4"/>
    <x v="2"/>
    <x v="2"/>
    <x v="5"/>
    <x v="137"/>
    <n v="202"/>
    <n v="199"/>
    <x v="1"/>
    <x v="0"/>
    <n v="27"/>
    <n v="0.15428571428571428"/>
    <n v="24"/>
    <n v="0.13714285714285715"/>
    <x v="0"/>
    <m/>
    <m/>
  </r>
  <r>
    <x v="4"/>
    <x v="2"/>
    <x v="2"/>
    <x v="6"/>
    <x v="133"/>
    <n v="151"/>
    <n v="167"/>
    <x v="0"/>
    <x v="0"/>
    <n v="23"/>
    <n v="0.13218390804597702"/>
    <n v="7"/>
    <n v="4.0229885057471264E-2"/>
    <x v="0"/>
    <m/>
    <m/>
  </r>
  <r>
    <x v="4"/>
    <x v="2"/>
    <x v="2"/>
    <x v="7"/>
    <x v="145"/>
    <n v="148"/>
    <n v="161"/>
    <x v="0"/>
    <x v="0"/>
    <n v="5"/>
    <n v="3.2679738562091505E-2"/>
    <n v="8"/>
    <n v="5.2287581699346407E-2"/>
    <x v="0"/>
    <m/>
    <m/>
  </r>
  <r>
    <x v="4"/>
    <x v="2"/>
    <x v="2"/>
    <x v="8"/>
    <x v="113"/>
    <n v="159"/>
    <n v="156"/>
    <x v="0"/>
    <x v="0"/>
    <n v="9"/>
    <n v="0.06"/>
    <n v="6"/>
    <n v="0.04"/>
    <x v="0"/>
    <m/>
    <m/>
  </r>
  <r>
    <x v="4"/>
    <x v="2"/>
    <x v="2"/>
    <x v="9"/>
    <x v="73"/>
    <n v="133"/>
    <n v="140"/>
    <x v="0"/>
    <x v="0"/>
    <n v="13"/>
    <n v="8.9041095890410954E-2"/>
    <n v="6"/>
    <n v="4.1095890410958902E-2"/>
    <x v="0"/>
    <m/>
    <m/>
  </r>
  <r>
    <x v="4"/>
    <x v="2"/>
    <x v="2"/>
    <x v="10"/>
    <x v="67"/>
    <n v="191"/>
    <n v="186"/>
    <x v="1"/>
    <x v="0"/>
    <n v="12"/>
    <n v="6.7039106145251395E-2"/>
    <n v="7"/>
    <n v="3.9106145251396648E-2"/>
    <x v="0"/>
    <m/>
    <m/>
  </r>
  <r>
    <x v="4"/>
    <x v="2"/>
    <x v="2"/>
    <x v="11"/>
    <x v="51"/>
    <n v="102"/>
    <n v="92"/>
    <x v="0"/>
    <x v="1"/>
    <n v="7"/>
    <n v="7.3684210526315783E-2"/>
    <n v="3"/>
    <n v="3.1578947368421054E-2"/>
    <x v="0"/>
    <m/>
    <m/>
  </r>
  <r>
    <x v="4"/>
    <x v="2"/>
    <x v="2"/>
    <x v="12"/>
    <x v="169"/>
    <n v="277"/>
    <n v="254"/>
    <x v="0"/>
    <x v="0"/>
    <n v="34"/>
    <n v="0.13991769547325103"/>
    <n v="11"/>
    <n v="4.5267489711934158E-2"/>
    <x v="0"/>
    <m/>
    <m/>
  </r>
  <r>
    <x v="4"/>
    <x v="2"/>
    <x v="2"/>
    <x v="13"/>
    <x v="170"/>
    <n v="270"/>
    <n v="257"/>
    <x v="1"/>
    <x v="0"/>
    <n v="15"/>
    <n v="5.8823529411764705E-2"/>
    <n v="2"/>
    <n v="7.8431372549019607E-3"/>
    <x v="0"/>
    <m/>
    <m/>
  </r>
  <r>
    <x v="4"/>
    <x v="2"/>
    <x v="2"/>
    <x v="14"/>
    <x v="168"/>
    <n v="289"/>
    <n v="245"/>
    <x v="0"/>
    <x v="0"/>
    <n v="42"/>
    <n v="0.17004048582995951"/>
    <n v="2"/>
    <n v="8.0971659919028341E-3"/>
    <x v="0"/>
    <m/>
    <m/>
  </r>
  <r>
    <x v="4"/>
    <x v="2"/>
    <x v="2"/>
    <x v="15"/>
    <x v="107"/>
    <n v="196"/>
    <n v="192"/>
    <x v="1"/>
    <x v="0"/>
    <n v="21"/>
    <n v="9.6774193548387094E-2"/>
    <n v="25"/>
    <n v="0.1152073732718894"/>
    <x v="0"/>
    <m/>
    <m/>
  </r>
  <r>
    <x v="4"/>
    <x v="2"/>
    <x v="2"/>
    <x v="16"/>
    <x v="129"/>
    <n v="209"/>
    <n v="197"/>
    <x v="0"/>
    <x v="0"/>
    <n v="7"/>
    <n v="3.4653465346534656E-2"/>
    <n v="5"/>
    <n v="2.4752475247524754E-2"/>
    <x v="0"/>
    <m/>
    <m/>
  </r>
  <r>
    <x v="4"/>
    <x v="2"/>
    <x v="2"/>
    <x v="17"/>
    <x v="127"/>
    <n v="246"/>
    <n v="209"/>
    <x v="1"/>
    <x v="0"/>
    <n v="24"/>
    <n v="0.10810810810810811"/>
    <n v="13"/>
    <n v="5.8558558558558557E-2"/>
    <x v="0"/>
    <m/>
    <m/>
  </r>
  <r>
    <x v="4"/>
    <x v="2"/>
    <x v="2"/>
    <x v="18"/>
    <x v="56"/>
    <n v="175"/>
    <n v="171"/>
    <x v="0"/>
    <x v="0"/>
    <n v="11"/>
    <n v="5.9139784946236562E-2"/>
    <n v="15"/>
    <n v="8.0645161290322578E-2"/>
    <x v="0"/>
    <m/>
    <m/>
  </r>
  <r>
    <x v="4"/>
    <x v="2"/>
    <x v="2"/>
    <x v="19"/>
    <x v="171"/>
    <n v="166"/>
    <n v="182"/>
    <x v="0"/>
    <x v="0"/>
    <n v="7"/>
    <n v="4.046242774566474E-2"/>
    <n v="9"/>
    <n v="5.2023121387283239E-2"/>
    <x v="0"/>
    <m/>
    <m/>
  </r>
  <r>
    <x v="4"/>
    <x v="2"/>
    <x v="2"/>
    <x v="20"/>
    <x v="114"/>
    <n v="157"/>
    <n v="138"/>
    <x v="0"/>
    <x v="0"/>
    <n v="16"/>
    <n v="0.11347517730496454"/>
    <n v="3"/>
    <n v="2.1276595744680851E-2"/>
    <x v="0"/>
    <m/>
    <m/>
  </r>
  <r>
    <x v="4"/>
    <x v="2"/>
    <x v="2"/>
    <x v="21"/>
    <x v="118"/>
    <n v="179"/>
    <n v="161"/>
    <x v="0"/>
    <x v="0"/>
    <n v="9"/>
    <n v="5.2941176470588235E-2"/>
    <n v="9"/>
    <n v="5.2941176470588235E-2"/>
    <x v="0"/>
    <m/>
    <m/>
  </r>
  <r>
    <x v="4"/>
    <x v="2"/>
    <x v="2"/>
    <x v="22"/>
    <x v="118"/>
    <n v="161"/>
    <n v="148"/>
    <x v="0"/>
    <x v="0"/>
    <n v="9"/>
    <n v="5.2941176470588235E-2"/>
    <n v="22"/>
    <n v="0.12941176470588237"/>
    <x v="0"/>
    <m/>
    <m/>
  </r>
  <r>
    <x v="4"/>
    <x v="2"/>
    <x v="2"/>
    <x v="23"/>
    <x v="160"/>
    <n v="199"/>
    <n v="187"/>
    <x v="0"/>
    <x v="0"/>
    <n v="9"/>
    <n v="4.736842105263158E-2"/>
    <n v="3"/>
    <n v="1.5789473684210527E-2"/>
    <x v="0"/>
    <m/>
    <m/>
  </r>
  <r>
    <x v="4"/>
    <x v="2"/>
    <x v="3"/>
    <x v="0"/>
    <x v="139"/>
    <n v="226"/>
    <n v="205"/>
    <x v="0"/>
    <x v="0"/>
    <n v="25"/>
    <n v="0.12437810945273632"/>
    <n v="4"/>
    <n v="1.9900497512437811E-2"/>
    <x v="0"/>
    <m/>
    <m/>
  </r>
  <r>
    <x v="4"/>
    <x v="2"/>
    <x v="3"/>
    <x v="1"/>
    <x v="139"/>
    <n v="225"/>
    <n v="206"/>
    <x v="0"/>
    <x v="0"/>
    <n v="24"/>
    <n v="0.11940298507462686"/>
    <n v="5"/>
    <n v="2.4875621890547265E-2"/>
    <x v="0"/>
    <m/>
    <m/>
  </r>
  <r>
    <x v="4"/>
    <x v="2"/>
    <x v="3"/>
    <x v="2"/>
    <x v="172"/>
    <n v="250"/>
    <n v="194"/>
    <x v="0"/>
    <x v="0"/>
    <n v="43"/>
    <n v="0.20772946859903382"/>
    <n v="13"/>
    <n v="6.280193236714976E-2"/>
    <x v="0"/>
    <m/>
    <m/>
  </r>
  <r>
    <x v="4"/>
    <x v="2"/>
    <x v="3"/>
    <x v="3"/>
    <x v="60"/>
    <n v="183"/>
    <n v="171"/>
    <x v="0"/>
    <x v="0"/>
    <n v="12"/>
    <n v="7.0175438596491224E-2"/>
    <n v="0"/>
    <n v="0"/>
    <x v="0"/>
    <m/>
    <m/>
  </r>
  <r>
    <x v="4"/>
    <x v="2"/>
    <x v="3"/>
    <x v="4"/>
    <x v="173"/>
    <n v="206"/>
    <n v="188"/>
    <x v="1"/>
    <x v="0"/>
    <n v="15"/>
    <n v="7.8534031413612565E-2"/>
    <n v="3"/>
    <n v="1.5706806282722512E-2"/>
    <x v="0"/>
    <m/>
    <m/>
  </r>
  <r>
    <x v="4"/>
    <x v="2"/>
    <x v="3"/>
    <x v="5"/>
    <x v="174"/>
    <n v="204"/>
    <n v="179"/>
    <x v="0"/>
    <x v="0"/>
    <n v="8"/>
    <n v="4.0816326530612242E-2"/>
    <n v="17"/>
    <n v="8.673469387755102E-2"/>
    <x v="0"/>
    <m/>
    <m/>
  </r>
  <r>
    <x v="4"/>
    <x v="2"/>
    <x v="3"/>
    <x v="6"/>
    <x v="175"/>
    <n v="166"/>
    <n v="144"/>
    <x v="0"/>
    <x v="0"/>
    <n v="12"/>
    <n v="7.792207792207792E-2"/>
    <n v="10"/>
    <n v="6.4935064935064929E-2"/>
    <x v="0"/>
    <m/>
    <m/>
  </r>
  <r>
    <x v="4"/>
    <x v="2"/>
    <x v="3"/>
    <x v="7"/>
    <x v="153"/>
    <n v="156"/>
    <n v="135"/>
    <x v="0"/>
    <x v="0"/>
    <n v="24"/>
    <n v="0.18181818181818182"/>
    <n v="3"/>
    <n v="2.2727272727272728E-2"/>
    <x v="0"/>
    <m/>
    <m/>
  </r>
  <r>
    <x v="4"/>
    <x v="2"/>
    <x v="3"/>
    <x v="8"/>
    <x v="155"/>
    <n v="167"/>
    <n v="154"/>
    <x v="0"/>
    <x v="0"/>
    <n v="24"/>
    <n v="0.16783216783216784"/>
    <n v="11"/>
    <n v="7.6923076923076927E-2"/>
    <x v="0"/>
    <m/>
    <m/>
  </r>
  <r>
    <x v="4"/>
    <x v="2"/>
    <x v="3"/>
    <x v="9"/>
    <x v="24"/>
    <n v="131"/>
    <n v="129"/>
    <x v="0"/>
    <x v="0"/>
    <n v="4"/>
    <n v="3.1496062992125984E-2"/>
    <n v="2"/>
    <n v="1.5748031496062992E-2"/>
    <x v="0"/>
    <m/>
    <m/>
  </r>
  <r>
    <x v="4"/>
    <x v="2"/>
    <x v="3"/>
    <x v="10"/>
    <x v="154"/>
    <n v="158"/>
    <n v="141"/>
    <x v="0"/>
    <x v="0"/>
    <n v="10"/>
    <n v="6.7567567567567571E-2"/>
    <n v="7"/>
    <n v="4.72972972972973E-2"/>
    <x v="0"/>
    <m/>
    <m/>
  </r>
  <r>
    <x v="4"/>
    <x v="2"/>
    <x v="3"/>
    <x v="11"/>
    <x v="85"/>
    <n v="92"/>
    <n v="103"/>
    <x v="0"/>
    <x v="1"/>
    <n v="11"/>
    <n v="0.10679611650485436"/>
    <n v="0"/>
    <n v="0"/>
    <x v="0"/>
    <m/>
    <m/>
  </r>
  <r>
    <x v="4"/>
    <x v="2"/>
    <x v="3"/>
    <x v="12"/>
    <x v="176"/>
    <n v="187"/>
    <n v="182"/>
    <x v="0"/>
    <x v="0"/>
    <n v="3"/>
    <n v="1.6304347826086956E-2"/>
    <n v="2"/>
    <n v="1.0869565217391304E-2"/>
    <x v="0"/>
    <m/>
    <m/>
  </r>
  <r>
    <x v="4"/>
    <x v="2"/>
    <x v="3"/>
    <x v="13"/>
    <x v="177"/>
    <n v="208"/>
    <n v="224"/>
    <x v="0"/>
    <x v="0"/>
    <n v="20"/>
    <n v="8.771929824561403E-2"/>
    <n v="4"/>
    <n v="1.7543859649122806E-2"/>
    <x v="0"/>
    <m/>
    <m/>
  </r>
  <r>
    <x v="4"/>
    <x v="2"/>
    <x v="3"/>
    <x v="14"/>
    <x v="174"/>
    <n v="218"/>
    <n v="180"/>
    <x v="0"/>
    <x v="0"/>
    <n v="22"/>
    <n v="0.11224489795918367"/>
    <n v="16"/>
    <n v="8.1632653061224483E-2"/>
    <x v="0"/>
    <m/>
    <m/>
  </r>
  <r>
    <x v="4"/>
    <x v="2"/>
    <x v="3"/>
    <x v="15"/>
    <x v="143"/>
    <n v="224"/>
    <n v="202"/>
    <x v="0"/>
    <x v="0"/>
    <n v="15"/>
    <n v="7.1770334928229665E-2"/>
    <n v="7"/>
    <n v="3.3492822966507178E-2"/>
    <x v="0"/>
    <m/>
    <m/>
  </r>
  <r>
    <x v="4"/>
    <x v="2"/>
    <x v="3"/>
    <x v="16"/>
    <x v="174"/>
    <n v="207"/>
    <n v="189"/>
    <x v="1"/>
    <x v="0"/>
    <n v="11"/>
    <n v="5.6122448979591837E-2"/>
    <n v="7"/>
    <n v="3.5714285714285712E-2"/>
    <x v="0"/>
    <m/>
    <m/>
  </r>
  <r>
    <x v="4"/>
    <x v="2"/>
    <x v="3"/>
    <x v="17"/>
    <x v="67"/>
    <n v="201"/>
    <n v="167"/>
    <x v="0"/>
    <x v="0"/>
    <n v="22"/>
    <n v="0.12290502793296089"/>
    <n v="12"/>
    <n v="6.7039106145251395E-2"/>
    <x v="0"/>
    <m/>
    <m/>
  </r>
  <r>
    <x v="4"/>
    <x v="2"/>
    <x v="3"/>
    <x v="18"/>
    <x v="167"/>
    <n v="192"/>
    <n v="173"/>
    <x v="0"/>
    <x v="0"/>
    <n v="16"/>
    <n v="9.0909090909090912E-2"/>
    <n v="3"/>
    <n v="1.7045454545454544E-2"/>
    <x v="0"/>
    <m/>
    <m/>
  </r>
  <r>
    <x v="4"/>
    <x v="2"/>
    <x v="3"/>
    <x v="19"/>
    <x v="114"/>
    <n v="131"/>
    <n v="145"/>
    <x v="0"/>
    <x v="0"/>
    <n v="10"/>
    <n v="7.0921985815602842E-2"/>
    <n v="4"/>
    <n v="2.8368794326241134E-2"/>
    <x v="0"/>
    <m/>
    <m/>
  </r>
  <r>
    <x v="4"/>
    <x v="2"/>
    <x v="3"/>
    <x v="20"/>
    <x v="86"/>
    <n v="140"/>
    <n v="127"/>
    <x v="0"/>
    <x v="0"/>
    <n v="10"/>
    <n v="7.6923076923076927E-2"/>
    <n v="3"/>
    <n v="2.3076923076923078E-2"/>
    <x v="0"/>
    <m/>
    <m/>
  </r>
  <r>
    <x v="4"/>
    <x v="2"/>
    <x v="3"/>
    <x v="21"/>
    <x v="30"/>
    <n v="142"/>
    <n v="135"/>
    <x v="0"/>
    <x v="0"/>
    <n v="2"/>
    <n v="1.4285714285714285E-2"/>
    <n v="5"/>
    <n v="3.5714285714285712E-2"/>
    <x v="0"/>
    <m/>
    <m/>
  </r>
  <r>
    <x v="4"/>
    <x v="2"/>
    <x v="3"/>
    <x v="22"/>
    <x v="10"/>
    <n v="84"/>
    <n v="76"/>
    <x v="0"/>
    <x v="1"/>
    <n v="13"/>
    <n v="0.18309859154929578"/>
    <n v="5"/>
    <n v="7.0422535211267609E-2"/>
    <x v="0"/>
    <m/>
    <m/>
  </r>
  <r>
    <x v="4"/>
    <x v="2"/>
    <x v="3"/>
    <x v="23"/>
    <x v="88"/>
    <n v="69"/>
    <n v="84"/>
    <x v="1"/>
    <x v="1"/>
    <n v="11"/>
    <n v="0.13750000000000001"/>
    <n v="4"/>
    <n v="0.05"/>
    <x v="0"/>
    <m/>
    <m/>
  </r>
  <r>
    <x v="5"/>
    <x v="2"/>
    <x v="0"/>
    <x v="0"/>
    <x v="26"/>
    <n v="95"/>
    <n v="83"/>
    <x v="0"/>
    <x v="0"/>
    <n v="13"/>
    <n v="0.15853658536585366"/>
    <n v="1"/>
    <n v="1.2195121951219513E-2"/>
    <x v="0"/>
    <m/>
    <m/>
  </r>
  <r>
    <x v="5"/>
    <x v="2"/>
    <x v="0"/>
    <x v="1"/>
    <x v="48"/>
    <n v="50"/>
    <n v="39"/>
    <x v="0"/>
    <x v="1"/>
    <n v="9"/>
    <n v="0.21951219512195122"/>
    <n v="2"/>
    <n v="4.878048780487805E-2"/>
    <x v="0"/>
    <m/>
    <m/>
  </r>
  <r>
    <x v="5"/>
    <x v="2"/>
    <x v="0"/>
    <x v="2"/>
    <x v="50"/>
    <n v="114"/>
    <n v="76"/>
    <x v="0"/>
    <x v="0"/>
    <n v="30"/>
    <n v="0.35714285714285715"/>
    <n v="8"/>
    <n v="9.5238095238095233E-2"/>
    <x v="0"/>
    <m/>
    <m/>
  </r>
  <r>
    <x v="5"/>
    <x v="2"/>
    <x v="0"/>
    <x v="3"/>
    <x v="42"/>
    <n v="92"/>
    <n v="71"/>
    <x v="1"/>
    <x v="0"/>
    <n v="20"/>
    <n v="0.27777777777777779"/>
    <n v="1"/>
    <n v="1.3888888888888888E-2"/>
    <x v="0"/>
    <m/>
    <m/>
  </r>
  <r>
    <x v="5"/>
    <x v="2"/>
    <x v="0"/>
    <x v="4"/>
    <x v="41"/>
    <n v="97"/>
    <n v="78"/>
    <x v="1"/>
    <x v="0"/>
    <n v="19"/>
    <n v="0.24358974358974358"/>
    <n v="0"/>
    <n v="0"/>
    <x v="0"/>
    <m/>
    <m/>
  </r>
  <r>
    <x v="5"/>
    <x v="2"/>
    <x v="0"/>
    <x v="5"/>
    <x v="39"/>
    <n v="92"/>
    <n v="67"/>
    <x v="0"/>
    <x v="0"/>
    <n v="19"/>
    <n v="0.26027397260273971"/>
    <n v="6"/>
    <n v="8.2191780821917804E-2"/>
    <x v="0"/>
    <m/>
    <m/>
  </r>
  <r>
    <x v="5"/>
    <x v="2"/>
    <x v="0"/>
    <x v="6"/>
    <x v="178"/>
    <n v="56"/>
    <n v="50"/>
    <x v="0"/>
    <x v="0"/>
    <n v="5"/>
    <n v="9.8039215686274508E-2"/>
    <n v="1"/>
    <n v="1.9607843137254902E-2"/>
    <x v="0"/>
    <m/>
    <m/>
  </r>
  <r>
    <x v="5"/>
    <x v="2"/>
    <x v="0"/>
    <x v="7"/>
    <x v="158"/>
    <n v="69"/>
    <n v="64"/>
    <x v="0"/>
    <x v="0"/>
    <n v="8"/>
    <n v="0.13114754098360656"/>
    <n v="3"/>
    <n v="4.9180327868852458E-2"/>
    <x v="0"/>
    <m/>
    <m/>
  </r>
  <r>
    <x v="5"/>
    <x v="2"/>
    <x v="0"/>
    <x v="8"/>
    <x v="100"/>
    <n v="59"/>
    <n v="50"/>
    <x v="1"/>
    <x v="0"/>
    <n v="9"/>
    <n v="0.18"/>
    <n v="0"/>
    <n v="0"/>
    <x v="0"/>
    <m/>
    <m/>
  </r>
  <r>
    <x v="5"/>
    <x v="2"/>
    <x v="0"/>
    <x v="9"/>
    <x v="47"/>
    <n v="77"/>
    <n v="56"/>
    <x v="0"/>
    <x v="0"/>
    <n v="23"/>
    <n v="0.42592592592592593"/>
    <n v="2"/>
    <n v="3.7037037037037035E-2"/>
    <x v="0"/>
    <m/>
    <m/>
  </r>
  <r>
    <x v="5"/>
    <x v="2"/>
    <x v="0"/>
    <x v="10"/>
    <x v="45"/>
    <n v="69"/>
    <n v="57"/>
    <x v="0"/>
    <x v="0"/>
    <n v="14"/>
    <n v="0.25454545454545452"/>
    <n v="2"/>
    <n v="3.6363636363636362E-2"/>
    <x v="0"/>
    <m/>
    <m/>
  </r>
  <r>
    <x v="5"/>
    <x v="2"/>
    <x v="0"/>
    <x v="11"/>
    <x v="52"/>
    <n v="85"/>
    <n v="62"/>
    <x v="0"/>
    <x v="0"/>
    <n v="20"/>
    <n v="0.30769230769230771"/>
    <n v="3"/>
    <n v="4.6153846153846156E-2"/>
    <x v="0"/>
    <m/>
    <m/>
  </r>
  <r>
    <x v="5"/>
    <x v="2"/>
    <x v="0"/>
    <x v="12"/>
    <x v="41"/>
    <n v="104"/>
    <n v="74"/>
    <x v="0"/>
    <x v="0"/>
    <n v="26"/>
    <n v="0.33333333333333331"/>
    <n v="4"/>
    <n v="5.128205128205128E-2"/>
    <x v="0"/>
    <m/>
    <m/>
  </r>
  <r>
    <x v="5"/>
    <x v="2"/>
    <x v="0"/>
    <x v="13"/>
    <x v="10"/>
    <n v="90"/>
    <n v="68"/>
    <x v="0"/>
    <x v="0"/>
    <n v="19"/>
    <n v="0.26760563380281688"/>
    <n v="3"/>
    <n v="4.2253521126760563E-2"/>
    <x v="0"/>
    <m/>
    <m/>
  </r>
  <r>
    <x v="5"/>
    <x v="2"/>
    <x v="0"/>
    <x v="14"/>
    <x v="43"/>
    <n v="71"/>
    <n v="70"/>
    <x v="0"/>
    <x v="0"/>
    <n v="1"/>
    <n v="1.4285714285714285E-2"/>
    <n v="0"/>
    <n v="0"/>
    <x v="0"/>
    <m/>
    <m/>
  </r>
  <r>
    <x v="5"/>
    <x v="2"/>
    <x v="0"/>
    <x v="15"/>
    <x v="53"/>
    <n v="62"/>
    <n v="63"/>
    <x v="0"/>
    <x v="0"/>
    <n v="2"/>
    <n v="3.125E-2"/>
    <n v="1"/>
    <n v="1.5625E-2"/>
    <x v="0"/>
    <m/>
    <m/>
  </r>
  <r>
    <x v="5"/>
    <x v="2"/>
    <x v="0"/>
    <x v="16"/>
    <x v="21"/>
    <n v="80"/>
    <n v="76"/>
    <x v="1"/>
    <x v="0"/>
    <n v="6"/>
    <n v="8.1081081081081086E-2"/>
    <n v="2"/>
    <n v="2.7027027027027029E-2"/>
    <x v="0"/>
    <m/>
    <m/>
  </r>
  <r>
    <x v="5"/>
    <x v="2"/>
    <x v="0"/>
    <x v="17"/>
    <x v="72"/>
    <n v="38"/>
    <n v="35"/>
    <x v="0"/>
    <x v="1"/>
    <n v="2"/>
    <n v="5.5555555555555552E-2"/>
    <n v="1"/>
    <n v="2.7777777777777776E-2"/>
    <x v="0"/>
    <m/>
    <m/>
  </r>
  <r>
    <x v="5"/>
    <x v="2"/>
    <x v="0"/>
    <x v="18"/>
    <x v="101"/>
    <n v="70"/>
    <n v="57"/>
    <x v="0"/>
    <x v="0"/>
    <n v="12"/>
    <n v="0.20689655172413793"/>
    <n v="1"/>
    <n v="1.7241379310344827E-2"/>
    <x v="0"/>
    <m/>
    <m/>
  </r>
  <r>
    <x v="5"/>
    <x v="2"/>
    <x v="0"/>
    <x v="19"/>
    <x v="45"/>
    <n v="69"/>
    <n v="51"/>
    <x v="0"/>
    <x v="0"/>
    <n v="14"/>
    <n v="0.25454545454545452"/>
    <n v="4"/>
    <n v="7.2727272727272724E-2"/>
    <x v="0"/>
    <m/>
    <m/>
  </r>
  <r>
    <x v="5"/>
    <x v="2"/>
    <x v="0"/>
    <x v="20"/>
    <x v="54"/>
    <n v="74"/>
    <n v="61"/>
    <x v="0"/>
    <x v="0"/>
    <n v="17"/>
    <n v="0.2982456140350877"/>
    <n v="4"/>
    <n v="7.0175438596491224E-2"/>
    <x v="0"/>
    <m/>
    <m/>
  </r>
  <r>
    <x v="5"/>
    <x v="2"/>
    <x v="0"/>
    <x v="21"/>
    <x v="98"/>
    <n v="41"/>
    <n v="43"/>
    <x v="0"/>
    <x v="0"/>
    <n v="2"/>
    <n v="4.6511627906976744E-2"/>
    <n v="0"/>
    <n v="0"/>
    <x v="0"/>
    <m/>
    <m/>
  </r>
  <r>
    <x v="5"/>
    <x v="2"/>
    <x v="0"/>
    <x v="22"/>
    <x v="54"/>
    <n v="69"/>
    <n v="58"/>
    <x v="1"/>
    <x v="0"/>
    <n v="12"/>
    <n v="0.21052631578947367"/>
    <n v="1"/>
    <n v="1.7543859649122806E-2"/>
    <x v="0"/>
    <m/>
    <m/>
  </r>
  <r>
    <x v="5"/>
    <x v="2"/>
    <x v="0"/>
    <x v="23"/>
    <x v="94"/>
    <n v="90"/>
    <n v="85"/>
    <x v="1"/>
    <x v="0"/>
    <n v="15"/>
    <n v="0.2"/>
    <n v="10"/>
    <n v="0.13333333333333333"/>
    <x v="0"/>
    <m/>
    <m/>
  </r>
  <r>
    <x v="5"/>
    <x v="2"/>
    <x v="1"/>
    <x v="0"/>
    <x v="179"/>
    <n v="253"/>
    <n v="234"/>
    <x v="1"/>
    <x v="0"/>
    <n v="16"/>
    <n v="6.7510548523206745E-2"/>
    <n v="3"/>
    <n v="1.2658227848101266E-2"/>
    <x v="0"/>
    <m/>
    <m/>
  </r>
  <r>
    <x v="5"/>
    <x v="2"/>
    <x v="1"/>
    <x v="1"/>
    <x v="138"/>
    <n v="212"/>
    <n v="216"/>
    <x v="1"/>
    <x v="0"/>
    <n v="8"/>
    <n v="3.6363636363636362E-2"/>
    <n v="4"/>
    <n v="1.8181818181818181E-2"/>
    <x v="0"/>
    <m/>
    <m/>
  </r>
  <r>
    <x v="5"/>
    <x v="2"/>
    <x v="1"/>
    <x v="2"/>
    <x v="112"/>
    <n v="187"/>
    <n v="198"/>
    <x v="1"/>
    <x v="0"/>
    <n v="8"/>
    <n v="4.1025641025641026E-2"/>
    <n v="3"/>
    <n v="1.5384615384615385E-2"/>
    <x v="0"/>
    <m/>
    <m/>
  </r>
  <r>
    <x v="5"/>
    <x v="2"/>
    <x v="1"/>
    <x v="3"/>
    <x v="180"/>
    <n v="272"/>
    <n v="254"/>
    <x v="1"/>
    <x v="0"/>
    <n v="40"/>
    <n v="0.17241379310344829"/>
    <n v="22"/>
    <n v="9.4827586206896547E-2"/>
    <x v="0"/>
    <m/>
    <m/>
  </r>
  <r>
    <x v="5"/>
    <x v="2"/>
    <x v="1"/>
    <x v="4"/>
    <x v="181"/>
    <n v="100"/>
    <n v="95"/>
    <x v="1"/>
    <x v="1"/>
    <n v="1"/>
    <n v="9.9009900990099011E-3"/>
    <n v="6"/>
    <n v="5.9405940594059403E-2"/>
    <x v="0"/>
    <m/>
    <m/>
  </r>
  <r>
    <x v="5"/>
    <x v="2"/>
    <x v="1"/>
    <x v="5"/>
    <x v="13"/>
    <n v="192"/>
    <n v="154"/>
    <x v="0"/>
    <x v="0"/>
    <n v="30"/>
    <n v="0.18518518518518517"/>
    <n v="8"/>
    <n v="4.9382716049382713E-2"/>
    <x v="0"/>
    <m/>
    <m/>
  </r>
  <r>
    <x v="5"/>
    <x v="2"/>
    <x v="1"/>
    <x v="6"/>
    <x v="145"/>
    <n v="177"/>
    <n v="166"/>
    <x v="0"/>
    <x v="0"/>
    <n v="24"/>
    <n v="0.15686274509803921"/>
    <n v="13"/>
    <n v="8.4967320261437912E-2"/>
    <x v="0"/>
    <m/>
    <m/>
  </r>
  <r>
    <x v="5"/>
    <x v="2"/>
    <x v="1"/>
    <x v="7"/>
    <x v="114"/>
    <n v="157"/>
    <n v="139"/>
    <x v="0"/>
    <x v="0"/>
    <n v="16"/>
    <n v="0.11347517730496454"/>
    <n v="2"/>
    <n v="1.4184397163120567E-2"/>
    <x v="0"/>
    <m/>
    <m/>
  </r>
  <r>
    <x v="5"/>
    <x v="2"/>
    <x v="1"/>
    <x v="8"/>
    <x v="111"/>
    <n v="143"/>
    <n v="138"/>
    <x v="0"/>
    <x v="0"/>
    <n v="14"/>
    <n v="0.10852713178294573"/>
    <n v="9"/>
    <n v="6.9767441860465115E-2"/>
    <x v="0"/>
    <m/>
    <m/>
  </r>
  <r>
    <x v="5"/>
    <x v="2"/>
    <x v="1"/>
    <x v="9"/>
    <x v="155"/>
    <n v="144"/>
    <n v="131"/>
    <x v="0"/>
    <x v="0"/>
    <n v="1"/>
    <n v="6.993006993006993E-3"/>
    <n v="12"/>
    <n v="8.3916083916083919E-2"/>
    <x v="0"/>
    <m/>
    <m/>
  </r>
  <r>
    <x v="5"/>
    <x v="2"/>
    <x v="1"/>
    <x v="10"/>
    <x v="141"/>
    <n v="152"/>
    <n v="152"/>
    <x v="1"/>
    <x v="0"/>
    <n v="10"/>
    <n v="7.0422535211267609E-2"/>
    <n v="10"/>
    <n v="7.0422535211267609E-2"/>
    <x v="0"/>
    <m/>
    <m/>
  </r>
  <r>
    <x v="5"/>
    <x v="2"/>
    <x v="1"/>
    <x v="11"/>
    <x v="60"/>
    <n v="162"/>
    <n v="156"/>
    <x v="0"/>
    <x v="0"/>
    <n v="9"/>
    <n v="5.2631578947368418E-2"/>
    <n v="15"/>
    <n v="8.771929824561403E-2"/>
    <x v="0"/>
    <m/>
    <m/>
  </r>
  <r>
    <x v="5"/>
    <x v="2"/>
    <x v="1"/>
    <x v="12"/>
    <x v="4"/>
    <n v="174"/>
    <n v="173"/>
    <x v="0"/>
    <x v="0"/>
    <n v="8"/>
    <n v="4.8192771084337352E-2"/>
    <n v="7"/>
    <n v="4.2168674698795178E-2"/>
    <x v="0"/>
    <m/>
    <m/>
  </r>
  <r>
    <x v="5"/>
    <x v="2"/>
    <x v="1"/>
    <x v="13"/>
    <x v="182"/>
    <n v="197"/>
    <n v="188"/>
    <x v="1"/>
    <x v="0"/>
    <n v="10"/>
    <n v="5.3475935828877004E-2"/>
    <n v="1"/>
    <n v="5.3475935828877002E-3"/>
    <x v="0"/>
    <m/>
    <m/>
  </r>
  <r>
    <x v="5"/>
    <x v="2"/>
    <x v="1"/>
    <x v="14"/>
    <x v="183"/>
    <n v="299"/>
    <n v="266"/>
    <x v="0"/>
    <x v="0"/>
    <n v="47"/>
    <n v="0.18650793650793651"/>
    <n v="14"/>
    <n v="5.5555555555555552E-2"/>
    <x v="0"/>
    <m/>
    <m/>
  </r>
  <r>
    <x v="5"/>
    <x v="2"/>
    <x v="1"/>
    <x v="15"/>
    <x v="184"/>
    <n v="266"/>
    <n v="217"/>
    <x v="0"/>
    <x v="0"/>
    <n v="30"/>
    <n v="0.1271186440677966"/>
    <n v="19"/>
    <n v="8.050847457627118E-2"/>
    <x v="0"/>
    <m/>
    <m/>
  </r>
  <r>
    <x v="5"/>
    <x v="2"/>
    <x v="1"/>
    <x v="16"/>
    <x v="66"/>
    <n v="106"/>
    <n v="106"/>
    <x v="1"/>
    <x v="1"/>
    <n v="8"/>
    <n v="8.1632653061224483E-2"/>
    <n v="8"/>
    <n v="8.1632653061224483E-2"/>
    <x v="0"/>
    <m/>
    <m/>
  </r>
  <r>
    <x v="5"/>
    <x v="2"/>
    <x v="1"/>
    <x v="17"/>
    <x v="174"/>
    <n v="209"/>
    <n v="193"/>
    <x v="0"/>
    <x v="0"/>
    <n v="13"/>
    <n v="6.6326530612244902E-2"/>
    <n v="3"/>
    <n v="1.5306122448979591E-2"/>
    <x v="0"/>
    <m/>
    <m/>
  </r>
  <r>
    <x v="5"/>
    <x v="2"/>
    <x v="1"/>
    <x v="18"/>
    <x v="13"/>
    <n v="180"/>
    <n v="158"/>
    <x v="0"/>
    <x v="0"/>
    <n v="18"/>
    <n v="0.1111111111111111"/>
    <n v="4"/>
    <n v="2.4691358024691357E-2"/>
    <x v="0"/>
    <m/>
    <m/>
  </r>
  <r>
    <x v="5"/>
    <x v="2"/>
    <x v="1"/>
    <x v="19"/>
    <x v="41"/>
    <n v="76"/>
    <n v="77"/>
    <x v="0"/>
    <x v="1"/>
    <n v="2"/>
    <n v="2.564102564102564E-2"/>
    <n v="1"/>
    <n v="1.282051282051282E-2"/>
    <x v="0"/>
    <m/>
    <m/>
  </r>
  <r>
    <x v="5"/>
    <x v="2"/>
    <x v="1"/>
    <x v="20"/>
    <x v="158"/>
    <n v="62"/>
    <n v="66"/>
    <x v="0"/>
    <x v="1"/>
    <n v="1"/>
    <n v="1.6393442622950821E-2"/>
    <n v="5"/>
    <n v="8.1967213114754092E-2"/>
    <x v="0"/>
    <m/>
    <m/>
  </r>
  <r>
    <x v="5"/>
    <x v="2"/>
    <x v="1"/>
    <x v="21"/>
    <x v="155"/>
    <n v="174"/>
    <n v="152"/>
    <x v="0"/>
    <x v="0"/>
    <n v="31"/>
    <n v="0.21678321678321677"/>
    <n v="9"/>
    <n v="6.2937062937062943E-2"/>
    <x v="0"/>
    <m/>
    <m/>
  </r>
  <r>
    <x v="5"/>
    <x v="2"/>
    <x v="1"/>
    <x v="22"/>
    <x v="118"/>
    <n v="190"/>
    <n v="164"/>
    <x v="0"/>
    <x v="0"/>
    <n v="20"/>
    <n v="0.11764705882352941"/>
    <n v="6"/>
    <n v="3.5294117647058823E-2"/>
    <x v="0"/>
    <m/>
    <m/>
  </r>
  <r>
    <x v="5"/>
    <x v="2"/>
    <x v="1"/>
    <x v="23"/>
    <x v="161"/>
    <n v="206"/>
    <n v="164"/>
    <x v="0"/>
    <x v="0"/>
    <n v="39"/>
    <n v="0.23353293413173654"/>
    <n v="3"/>
    <n v="1.7964071856287425E-2"/>
    <x v="0"/>
    <m/>
    <m/>
  </r>
  <r>
    <x v="5"/>
    <x v="2"/>
    <x v="2"/>
    <x v="0"/>
    <x v="6"/>
    <n v="131"/>
    <n v="125"/>
    <x v="0"/>
    <x v="0"/>
    <n v="5"/>
    <n v="3.968253968253968E-2"/>
    <n v="1"/>
    <n v="7.9365079365079361E-3"/>
    <x v="0"/>
    <m/>
    <m/>
  </r>
  <r>
    <x v="5"/>
    <x v="2"/>
    <x v="2"/>
    <x v="1"/>
    <x v="51"/>
    <n v="105"/>
    <n v="83"/>
    <x v="0"/>
    <x v="0"/>
    <n v="10"/>
    <n v="0.10526315789473684"/>
    <n v="12"/>
    <n v="0.12631578947368421"/>
    <x v="0"/>
    <m/>
    <m/>
  </r>
  <r>
    <x v="5"/>
    <x v="2"/>
    <x v="2"/>
    <x v="2"/>
    <x v="43"/>
    <n v="70"/>
    <n v="65"/>
    <x v="0"/>
    <x v="1"/>
    <n v="0"/>
    <n v="0"/>
    <n v="5"/>
    <n v="7.1428571428571425E-2"/>
    <x v="0"/>
    <m/>
    <m/>
  </r>
  <r>
    <x v="5"/>
    <x v="2"/>
    <x v="2"/>
    <x v="3"/>
    <x v="23"/>
    <n v="125"/>
    <n v="129"/>
    <x v="1"/>
    <x v="0"/>
    <n v="4"/>
    <n v="3.3057851239669422E-2"/>
    <n v="8"/>
    <n v="6.6115702479338845E-2"/>
    <x v="0"/>
    <m/>
    <m/>
  </r>
  <r>
    <x v="5"/>
    <x v="2"/>
    <x v="2"/>
    <x v="4"/>
    <x v="31"/>
    <n v="141"/>
    <n v="110"/>
    <x v="1"/>
    <x v="0"/>
    <n v="24"/>
    <n v="0.20512820512820512"/>
    <n v="7"/>
    <n v="5.9829059829059832E-2"/>
    <x v="0"/>
    <m/>
    <m/>
  </r>
  <r>
    <x v="5"/>
    <x v="2"/>
    <x v="2"/>
    <x v="5"/>
    <x v="80"/>
    <n v="132"/>
    <n v="108"/>
    <x v="1"/>
    <x v="0"/>
    <n v="24"/>
    <n v="0.22222222222222221"/>
    <n v="0"/>
    <n v="0"/>
    <x v="0"/>
    <m/>
    <m/>
  </r>
  <r>
    <x v="5"/>
    <x v="2"/>
    <x v="2"/>
    <x v="6"/>
    <x v="88"/>
    <n v="99"/>
    <n v="78"/>
    <x v="0"/>
    <x v="0"/>
    <n v="19"/>
    <n v="0.23749999999999999"/>
    <n v="2"/>
    <n v="2.5000000000000001E-2"/>
    <x v="0"/>
    <m/>
    <m/>
  </r>
  <r>
    <x v="5"/>
    <x v="2"/>
    <x v="2"/>
    <x v="7"/>
    <x v="35"/>
    <n v="101"/>
    <n v="87"/>
    <x v="0"/>
    <x v="0"/>
    <n v="13"/>
    <n v="0.14772727272727273"/>
    <n v="1"/>
    <n v="1.1363636363636364E-2"/>
    <x v="0"/>
    <m/>
    <m/>
  </r>
  <r>
    <x v="5"/>
    <x v="2"/>
    <x v="2"/>
    <x v="8"/>
    <x v="36"/>
    <n v="108"/>
    <n v="91"/>
    <x v="0"/>
    <x v="0"/>
    <n v="16"/>
    <n v="0.17391304347826086"/>
    <n v="1"/>
    <n v="1.0869565217391304E-2"/>
    <x v="0"/>
    <m/>
    <m/>
  </r>
  <r>
    <x v="5"/>
    <x v="2"/>
    <x v="2"/>
    <x v="9"/>
    <x v="74"/>
    <n v="105"/>
    <n v="102"/>
    <x v="1"/>
    <x v="0"/>
    <n v="6"/>
    <n v="6.0606060606060608E-2"/>
    <n v="3"/>
    <n v="3.0303030303030304E-2"/>
    <x v="0"/>
    <m/>
    <m/>
  </r>
  <r>
    <x v="5"/>
    <x v="2"/>
    <x v="2"/>
    <x v="10"/>
    <x v="27"/>
    <n v="101"/>
    <n v="93"/>
    <x v="0"/>
    <x v="0"/>
    <n v="8"/>
    <n v="8.6021505376344093E-2"/>
    <n v="0"/>
    <n v="0"/>
    <x v="0"/>
    <m/>
    <m/>
  </r>
  <r>
    <x v="5"/>
    <x v="2"/>
    <x v="2"/>
    <x v="11"/>
    <x v="80"/>
    <n v="122"/>
    <n v="114"/>
    <x v="0"/>
    <x v="0"/>
    <n v="14"/>
    <n v="0.12962962962962962"/>
    <n v="6"/>
    <n v="5.5555555555555552E-2"/>
    <x v="0"/>
    <m/>
    <m/>
  </r>
  <r>
    <x v="5"/>
    <x v="2"/>
    <x v="2"/>
    <x v="12"/>
    <x v="69"/>
    <n v="105"/>
    <n v="106"/>
    <x v="0"/>
    <x v="0"/>
    <n v="4"/>
    <n v="3.669724770642202E-2"/>
    <n v="3"/>
    <n v="2.7522935779816515E-2"/>
    <x v="0"/>
    <m/>
    <m/>
  </r>
  <r>
    <x v="5"/>
    <x v="2"/>
    <x v="2"/>
    <x v="13"/>
    <x v="77"/>
    <n v="144"/>
    <n v="143"/>
    <x v="0"/>
    <x v="0"/>
    <n v="6"/>
    <n v="4.3478260869565216E-2"/>
    <n v="5"/>
    <n v="3.6231884057971016E-2"/>
    <x v="0"/>
    <m/>
    <m/>
  </r>
  <r>
    <x v="5"/>
    <x v="2"/>
    <x v="2"/>
    <x v="14"/>
    <x v="66"/>
    <n v="95"/>
    <n v="94"/>
    <x v="0"/>
    <x v="0"/>
    <n v="3"/>
    <n v="3.0612244897959183E-2"/>
    <n v="4"/>
    <n v="4.0816326530612242E-2"/>
    <x v="0"/>
    <m/>
    <m/>
  </r>
  <r>
    <x v="5"/>
    <x v="2"/>
    <x v="2"/>
    <x v="15"/>
    <x v="22"/>
    <n v="164"/>
    <n v="146"/>
    <x v="0"/>
    <x v="0"/>
    <n v="20"/>
    <n v="0.1388888888888889"/>
    <n v="2"/>
    <n v="1.3888888888888888E-2"/>
    <x v="0"/>
    <m/>
    <m/>
  </r>
  <r>
    <x v="5"/>
    <x v="2"/>
    <x v="2"/>
    <x v="16"/>
    <x v="20"/>
    <n v="109"/>
    <n v="115"/>
    <x v="0"/>
    <x v="0"/>
    <n v="13"/>
    <n v="0.10655737704918032"/>
    <n v="7"/>
    <n v="5.737704918032787E-2"/>
    <x v="0"/>
    <m/>
    <m/>
  </r>
  <r>
    <x v="5"/>
    <x v="2"/>
    <x v="2"/>
    <x v="17"/>
    <x v="15"/>
    <n v="96"/>
    <n v="83"/>
    <x v="0"/>
    <x v="0"/>
    <n v="9"/>
    <n v="0.10344827586206896"/>
    <n v="4"/>
    <n v="4.5977011494252873E-2"/>
    <x v="0"/>
    <m/>
    <m/>
  </r>
  <r>
    <x v="5"/>
    <x v="2"/>
    <x v="2"/>
    <x v="18"/>
    <x v="71"/>
    <n v="86"/>
    <n v="86"/>
    <x v="0"/>
    <x v="0"/>
    <n v="3"/>
    <n v="3.3707865168539325E-2"/>
    <n v="3"/>
    <n v="3.3707865168539325E-2"/>
    <x v="0"/>
    <m/>
    <m/>
  </r>
  <r>
    <x v="5"/>
    <x v="2"/>
    <x v="2"/>
    <x v="19"/>
    <x v="26"/>
    <n v="92"/>
    <n v="88"/>
    <x v="0"/>
    <x v="0"/>
    <n v="10"/>
    <n v="0.12195121951219512"/>
    <n v="6"/>
    <n v="7.3170731707317069E-2"/>
    <x v="0"/>
    <m/>
    <m/>
  </r>
  <r>
    <x v="5"/>
    <x v="2"/>
    <x v="2"/>
    <x v="20"/>
    <x v="157"/>
    <n v="100"/>
    <n v="86"/>
    <x v="1"/>
    <x v="0"/>
    <n v="10"/>
    <n v="0.1111111111111111"/>
    <n v="4"/>
    <n v="4.4444444444444446E-2"/>
    <x v="0"/>
    <m/>
    <m/>
  </r>
  <r>
    <x v="5"/>
    <x v="2"/>
    <x v="2"/>
    <x v="21"/>
    <x v="85"/>
    <n v="116"/>
    <n v="92"/>
    <x v="1"/>
    <x v="0"/>
    <n v="13"/>
    <n v="0.12621359223300971"/>
    <n v="11"/>
    <n v="0.10679611650485436"/>
    <x v="0"/>
    <m/>
    <m/>
  </r>
  <r>
    <x v="5"/>
    <x v="2"/>
    <x v="2"/>
    <x v="22"/>
    <x v="38"/>
    <n v="107"/>
    <n v="100"/>
    <x v="0"/>
    <x v="0"/>
    <n v="10"/>
    <n v="0.10309278350515463"/>
    <n v="3"/>
    <n v="3.0927835051546393E-2"/>
    <x v="0"/>
    <m/>
    <m/>
  </r>
  <r>
    <x v="5"/>
    <x v="2"/>
    <x v="2"/>
    <x v="23"/>
    <x v="103"/>
    <n v="51"/>
    <n v="53"/>
    <x v="0"/>
    <x v="1"/>
    <n v="2"/>
    <n v="3.7735849056603772E-2"/>
    <n v="0"/>
    <n v="0"/>
    <x v="0"/>
    <m/>
    <m/>
  </r>
  <r>
    <x v="5"/>
    <x v="2"/>
    <x v="3"/>
    <x v="0"/>
    <x v="88"/>
    <n v="93"/>
    <n v="90"/>
    <x v="0"/>
    <x v="0"/>
    <n v="13"/>
    <n v="0.16250000000000001"/>
    <n v="10"/>
    <n v="0.125"/>
    <x v="0"/>
    <m/>
    <m/>
  </r>
  <r>
    <x v="5"/>
    <x v="2"/>
    <x v="3"/>
    <x v="1"/>
    <x v="41"/>
    <n v="93"/>
    <n v="84"/>
    <x v="0"/>
    <x v="0"/>
    <n v="15"/>
    <n v="0.19230769230769232"/>
    <n v="6"/>
    <n v="7.6923076923076927E-2"/>
    <x v="0"/>
    <m/>
    <m/>
  </r>
  <r>
    <x v="5"/>
    <x v="2"/>
    <x v="3"/>
    <x v="2"/>
    <x v="71"/>
    <n v="114"/>
    <n v="93"/>
    <x v="1"/>
    <x v="0"/>
    <n v="25"/>
    <n v="0.2808988764044944"/>
    <n v="4"/>
    <n v="4.49438202247191E-2"/>
    <x v="0"/>
    <m/>
    <m/>
  </r>
  <r>
    <x v="5"/>
    <x v="2"/>
    <x v="3"/>
    <x v="3"/>
    <x v="26"/>
    <n v="89"/>
    <n v="81"/>
    <x v="0"/>
    <x v="0"/>
    <n v="7"/>
    <n v="8.5365853658536592E-2"/>
    <n v="1"/>
    <n v="1.2195121951219513E-2"/>
    <x v="0"/>
    <m/>
    <m/>
  </r>
  <r>
    <x v="5"/>
    <x v="2"/>
    <x v="3"/>
    <x v="4"/>
    <x v="26"/>
    <n v="96"/>
    <n v="85"/>
    <x v="0"/>
    <x v="0"/>
    <n v="14"/>
    <n v="0.17073170731707318"/>
    <n v="3"/>
    <n v="3.6585365853658534E-2"/>
    <x v="0"/>
    <m/>
    <m/>
  </r>
  <r>
    <x v="5"/>
    <x v="2"/>
    <x v="3"/>
    <x v="5"/>
    <x v="101"/>
    <n v="64"/>
    <n v="58"/>
    <x v="1"/>
    <x v="0"/>
    <n v="6"/>
    <n v="0.10344827586206896"/>
    <n v="0"/>
    <n v="0"/>
    <x v="0"/>
    <m/>
    <m/>
  </r>
  <r>
    <x v="5"/>
    <x v="2"/>
    <x v="3"/>
    <x v="6"/>
    <x v="47"/>
    <n v="66"/>
    <n v="52"/>
    <x v="0"/>
    <x v="0"/>
    <n v="12"/>
    <n v="0.22222222222222221"/>
    <n v="2"/>
    <n v="3.7037037037037035E-2"/>
    <x v="0"/>
    <m/>
    <m/>
  </r>
  <r>
    <x v="5"/>
    <x v="2"/>
    <x v="3"/>
    <x v="7"/>
    <x v="47"/>
    <n v="59"/>
    <n v="48"/>
    <x v="0"/>
    <x v="0"/>
    <n v="5"/>
    <n v="9.2592592592592587E-2"/>
    <n v="6"/>
    <n v="0.1111111111111111"/>
    <x v="0"/>
    <m/>
    <m/>
  </r>
  <r>
    <x v="5"/>
    <x v="2"/>
    <x v="3"/>
    <x v="8"/>
    <x v="89"/>
    <n v="66"/>
    <n v="62"/>
    <x v="0"/>
    <x v="0"/>
    <n v="3"/>
    <n v="4.7619047619047616E-2"/>
    <n v="1"/>
    <n v="1.5873015873015872E-2"/>
    <x v="0"/>
    <m/>
    <m/>
  </r>
  <r>
    <x v="5"/>
    <x v="2"/>
    <x v="3"/>
    <x v="9"/>
    <x v="158"/>
    <n v="66"/>
    <n v="61"/>
    <x v="1"/>
    <x v="0"/>
    <n v="5"/>
    <n v="8.1967213114754092E-2"/>
    <n v="0"/>
    <n v="0"/>
    <x v="0"/>
    <m/>
    <m/>
  </r>
  <r>
    <x v="5"/>
    <x v="2"/>
    <x v="3"/>
    <x v="10"/>
    <x v="42"/>
    <n v="89"/>
    <n v="72"/>
    <x v="1"/>
    <x v="0"/>
    <n v="17"/>
    <n v="0.2361111111111111"/>
    <n v="0"/>
    <n v="0"/>
    <x v="0"/>
    <m/>
    <m/>
  </r>
  <r>
    <x v="5"/>
    <x v="2"/>
    <x v="3"/>
    <x v="11"/>
    <x v="91"/>
    <n v="111"/>
    <n v="87"/>
    <x v="0"/>
    <x v="0"/>
    <n v="26"/>
    <n v="0.30588235294117649"/>
    <n v="2"/>
    <n v="2.3529411764705882E-2"/>
    <x v="0"/>
    <m/>
    <m/>
  </r>
  <r>
    <x v="5"/>
    <x v="2"/>
    <x v="3"/>
    <x v="12"/>
    <x v="50"/>
    <n v="102"/>
    <n v="84"/>
    <x v="0"/>
    <x v="0"/>
    <n v="18"/>
    <n v="0.21428571428571427"/>
    <n v="0"/>
    <n v="0"/>
    <x v="0"/>
    <m/>
    <m/>
  </r>
  <r>
    <x v="5"/>
    <x v="2"/>
    <x v="3"/>
    <x v="13"/>
    <x v="157"/>
    <n v="106"/>
    <n v="94"/>
    <x v="0"/>
    <x v="0"/>
    <n v="16"/>
    <n v="0.17777777777777778"/>
    <n v="4"/>
    <n v="4.4444444444444446E-2"/>
    <x v="0"/>
    <m/>
    <m/>
  </r>
  <r>
    <x v="5"/>
    <x v="2"/>
    <x v="3"/>
    <x v="14"/>
    <x v="79"/>
    <n v="121"/>
    <n v="101"/>
    <x v="0"/>
    <x v="0"/>
    <n v="15"/>
    <n v="0.14150943396226415"/>
    <n v="5"/>
    <n v="4.716981132075472E-2"/>
    <x v="0"/>
    <m/>
    <m/>
  </r>
  <r>
    <x v="5"/>
    <x v="2"/>
    <x v="3"/>
    <x v="15"/>
    <x v="26"/>
    <n v="92"/>
    <n v="76"/>
    <x v="0"/>
    <x v="0"/>
    <n v="10"/>
    <n v="0.12195121951219512"/>
    <n v="6"/>
    <n v="7.3170731707317069E-2"/>
    <x v="0"/>
    <m/>
    <m/>
  </r>
  <r>
    <x v="5"/>
    <x v="2"/>
    <x v="3"/>
    <x v="16"/>
    <x v="94"/>
    <n v="99"/>
    <n v="76"/>
    <x v="1"/>
    <x v="0"/>
    <n v="24"/>
    <n v="0.32"/>
    <n v="1"/>
    <n v="1.3333333333333334E-2"/>
    <x v="0"/>
    <m/>
    <m/>
  </r>
  <r>
    <x v="5"/>
    <x v="2"/>
    <x v="3"/>
    <x v="17"/>
    <x v="26"/>
    <n v="86"/>
    <n v="85"/>
    <x v="1"/>
    <x v="0"/>
    <n v="4"/>
    <n v="4.878048780487805E-2"/>
    <n v="3"/>
    <n v="3.6585365853658534E-2"/>
    <x v="0"/>
    <m/>
    <m/>
  </r>
  <r>
    <x v="5"/>
    <x v="2"/>
    <x v="3"/>
    <x v="18"/>
    <x v="55"/>
    <n v="63"/>
    <n v="60"/>
    <x v="1"/>
    <x v="0"/>
    <n v="4"/>
    <n v="6.7796610169491525E-2"/>
    <n v="1"/>
    <n v="1.6949152542372881E-2"/>
    <x v="0"/>
    <m/>
    <m/>
  </r>
  <r>
    <x v="5"/>
    <x v="2"/>
    <x v="3"/>
    <x v="19"/>
    <x v="97"/>
    <n v="70"/>
    <n v="52"/>
    <x v="0"/>
    <x v="0"/>
    <n v="14"/>
    <n v="0.25"/>
    <n v="4"/>
    <n v="7.1428571428571425E-2"/>
    <x v="0"/>
    <m/>
    <m/>
  </r>
  <r>
    <x v="5"/>
    <x v="2"/>
    <x v="3"/>
    <x v="20"/>
    <x v="45"/>
    <n v="67"/>
    <n v="55"/>
    <x v="1"/>
    <x v="0"/>
    <n v="12"/>
    <n v="0.21818181818181817"/>
    <n v="0"/>
    <n v="0"/>
    <x v="0"/>
    <m/>
    <m/>
  </r>
  <r>
    <x v="5"/>
    <x v="2"/>
    <x v="3"/>
    <x v="21"/>
    <x v="101"/>
    <n v="69"/>
    <n v="53"/>
    <x v="0"/>
    <x v="0"/>
    <n v="11"/>
    <n v="0.18965517241379309"/>
    <n v="5"/>
    <n v="8.6206896551724144E-2"/>
    <x v="0"/>
    <m/>
    <m/>
  </r>
  <r>
    <x v="5"/>
    <x v="2"/>
    <x v="3"/>
    <x v="22"/>
    <x v="42"/>
    <n v="81"/>
    <n v="70"/>
    <x v="0"/>
    <x v="0"/>
    <n v="9"/>
    <n v="0.125"/>
    <n v="2"/>
    <n v="2.7777777777777776E-2"/>
    <x v="0"/>
    <m/>
    <m/>
  </r>
  <r>
    <x v="5"/>
    <x v="2"/>
    <x v="3"/>
    <x v="23"/>
    <x v="185"/>
    <n v="48"/>
    <n v="40"/>
    <x v="1"/>
    <x v="1"/>
    <n v="8"/>
    <n v="0.2"/>
    <n v="0"/>
    <n v="0"/>
    <x v="0"/>
    <m/>
    <m/>
  </r>
  <r>
    <x v="6"/>
    <x v="3"/>
    <x v="0"/>
    <x v="0"/>
    <x v="50"/>
    <n v="86"/>
    <n v="79"/>
    <x v="0"/>
    <x v="1"/>
    <n v="2"/>
    <n v="2.3809523809523808E-2"/>
    <n v="5"/>
    <n v="5.9523809523809521E-2"/>
    <x v="0"/>
    <m/>
    <m/>
  </r>
  <r>
    <x v="6"/>
    <x v="3"/>
    <x v="0"/>
    <x v="1"/>
    <x v="156"/>
    <n v="142"/>
    <n v="135"/>
    <x v="1"/>
    <x v="0"/>
    <n v="14"/>
    <n v="0.109375"/>
    <n v="7"/>
    <n v="5.46875E-2"/>
    <x v="0"/>
    <m/>
    <m/>
  </r>
  <r>
    <x v="6"/>
    <x v="3"/>
    <x v="0"/>
    <x v="2"/>
    <x v="59"/>
    <n v="166"/>
    <n v="133"/>
    <x v="0"/>
    <x v="0"/>
    <n v="33"/>
    <n v="0.24812030075187969"/>
    <n v="0"/>
    <n v="0"/>
    <x v="0"/>
    <m/>
    <m/>
  </r>
  <r>
    <x v="6"/>
    <x v="3"/>
    <x v="0"/>
    <x v="3"/>
    <x v="53"/>
    <n v="61"/>
    <n v="59"/>
    <x v="0"/>
    <x v="1"/>
    <n v="3"/>
    <n v="4.6875E-2"/>
    <n v="5"/>
    <n v="7.8125E-2"/>
    <x v="0"/>
    <m/>
    <m/>
  </r>
  <r>
    <x v="6"/>
    <x v="3"/>
    <x v="0"/>
    <x v="4"/>
    <x v="175"/>
    <n v="188"/>
    <n v="147"/>
    <x v="0"/>
    <x v="0"/>
    <n v="34"/>
    <n v="0.22077922077922077"/>
    <n v="7"/>
    <n v="4.5454545454545456E-2"/>
    <x v="0"/>
    <m/>
    <m/>
  </r>
  <r>
    <x v="6"/>
    <x v="3"/>
    <x v="0"/>
    <x v="5"/>
    <x v="111"/>
    <n v="143"/>
    <n v="135"/>
    <x v="0"/>
    <x v="0"/>
    <n v="14"/>
    <n v="0.10852713178294573"/>
    <n v="6"/>
    <n v="4.6511627906976744E-2"/>
    <x v="0"/>
    <m/>
    <m/>
  </r>
  <r>
    <x v="6"/>
    <x v="3"/>
    <x v="0"/>
    <x v="6"/>
    <x v="122"/>
    <n v="143"/>
    <n v="103"/>
    <x v="0"/>
    <x v="0"/>
    <n v="38"/>
    <n v="0.3619047619047619"/>
    <n v="2"/>
    <n v="1.9047619047619049E-2"/>
    <x v="0"/>
    <m/>
    <m/>
  </r>
  <r>
    <x v="6"/>
    <x v="3"/>
    <x v="0"/>
    <x v="7"/>
    <x v="42"/>
    <n v="82"/>
    <n v="74"/>
    <x v="1"/>
    <x v="0"/>
    <n v="10"/>
    <n v="0.1388888888888889"/>
    <n v="2"/>
    <n v="2.7777777777777776E-2"/>
    <x v="0"/>
    <m/>
    <m/>
  </r>
  <r>
    <x v="6"/>
    <x v="3"/>
    <x v="0"/>
    <x v="8"/>
    <x v="80"/>
    <n v="119"/>
    <n v="105"/>
    <x v="1"/>
    <x v="0"/>
    <n v="11"/>
    <n v="0.10185185185185185"/>
    <n v="3"/>
    <n v="2.7777777777777776E-2"/>
    <x v="0"/>
    <m/>
    <m/>
  </r>
  <r>
    <x v="6"/>
    <x v="3"/>
    <x v="0"/>
    <x v="9"/>
    <x v="121"/>
    <n v="59"/>
    <n v="50"/>
    <x v="0"/>
    <x v="1"/>
    <n v="7"/>
    <n v="0.13461538461538461"/>
    <n v="2"/>
    <n v="3.8461538461538464E-2"/>
    <x v="0"/>
    <m/>
    <m/>
  </r>
  <r>
    <x v="6"/>
    <x v="3"/>
    <x v="0"/>
    <x v="10"/>
    <x v="82"/>
    <n v="106"/>
    <n v="96"/>
    <x v="0"/>
    <x v="0"/>
    <n v="10"/>
    <n v="0.10416666666666667"/>
    <n v="0"/>
    <n v="0"/>
    <x v="0"/>
    <m/>
    <m/>
  </r>
  <r>
    <x v="6"/>
    <x v="3"/>
    <x v="0"/>
    <x v="11"/>
    <x v="101"/>
    <n v="67"/>
    <n v="56"/>
    <x v="0"/>
    <x v="1"/>
    <n v="9"/>
    <n v="0.15517241379310345"/>
    <n v="2"/>
    <n v="3.4482758620689655E-2"/>
    <x v="0"/>
    <m/>
    <m/>
  </r>
  <r>
    <x v="6"/>
    <x v="3"/>
    <x v="0"/>
    <x v="12"/>
    <x v="69"/>
    <n v="102"/>
    <n v="112"/>
    <x v="0"/>
    <x v="0"/>
    <n v="7"/>
    <n v="6.4220183486238536E-2"/>
    <n v="3"/>
    <n v="2.7522935779816515E-2"/>
    <x v="0"/>
    <m/>
    <m/>
  </r>
  <r>
    <x v="6"/>
    <x v="3"/>
    <x v="0"/>
    <x v="13"/>
    <x v="21"/>
    <n v="86"/>
    <n v="77"/>
    <x v="0"/>
    <x v="1"/>
    <n v="12"/>
    <n v="0.16216216216216217"/>
    <n v="3"/>
    <n v="4.0540540540540543E-2"/>
    <x v="0"/>
    <m/>
    <m/>
  </r>
  <r>
    <x v="6"/>
    <x v="3"/>
    <x v="0"/>
    <x v="14"/>
    <x v="61"/>
    <n v="168"/>
    <n v="152"/>
    <x v="1"/>
    <x v="0"/>
    <n v="17"/>
    <n v="0.11258278145695365"/>
    <n v="1"/>
    <n v="6.6225165562913907E-3"/>
    <x v="0"/>
    <m/>
    <m/>
  </r>
  <r>
    <x v="6"/>
    <x v="3"/>
    <x v="0"/>
    <x v="15"/>
    <x v="59"/>
    <n v="154"/>
    <n v="132"/>
    <x v="0"/>
    <x v="0"/>
    <n v="21"/>
    <n v="0.15789473684210525"/>
    <n v="1"/>
    <n v="7.5187969924812026E-3"/>
    <x v="0"/>
    <m/>
    <m/>
  </r>
  <r>
    <x v="6"/>
    <x v="3"/>
    <x v="0"/>
    <x v="16"/>
    <x v="0"/>
    <n v="192"/>
    <n v="150"/>
    <x v="0"/>
    <x v="0"/>
    <n v="45"/>
    <n v="0.30612244897959184"/>
    <n v="3"/>
    <n v="2.0408163265306121E-2"/>
    <x v="0"/>
    <m/>
    <m/>
  </r>
  <r>
    <x v="6"/>
    <x v="3"/>
    <x v="0"/>
    <x v="17"/>
    <x v="186"/>
    <n v="144"/>
    <n v="125"/>
    <x v="0"/>
    <x v="0"/>
    <n v="20"/>
    <n v="0.16129032258064516"/>
    <n v="1"/>
    <n v="8.0645161290322578E-3"/>
    <x v="0"/>
    <m/>
    <m/>
  </r>
  <r>
    <x v="6"/>
    <x v="3"/>
    <x v="0"/>
    <x v="18"/>
    <x v="78"/>
    <n v="123"/>
    <n v="128"/>
    <x v="0"/>
    <x v="0"/>
    <n v="4"/>
    <n v="3.3613445378151259E-2"/>
    <n v="9"/>
    <n v="7.5630252100840331E-2"/>
    <x v="0"/>
    <m/>
    <m/>
  </r>
  <r>
    <x v="6"/>
    <x v="3"/>
    <x v="0"/>
    <x v="19"/>
    <x v="87"/>
    <n v="128"/>
    <n v="110"/>
    <x v="1"/>
    <x v="0"/>
    <n v="12"/>
    <n v="0.10344827586206896"/>
    <n v="6"/>
    <n v="5.1724137931034482E-2"/>
    <x v="0"/>
    <m/>
    <m/>
  </r>
  <r>
    <x v="6"/>
    <x v="3"/>
    <x v="0"/>
    <x v="20"/>
    <x v="79"/>
    <n v="124"/>
    <n v="108"/>
    <x v="0"/>
    <x v="0"/>
    <n v="18"/>
    <n v="0.16981132075471697"/>
    <n v="2"/>
    <n v="1.8867924528301886E-2"/>
    <x v="0"/>
    <m/>
    <m/>
  </r>
  <r>
    <x v="6"/>
    <x v="3"/>
    <x v="0"/>
    <x v="21"/>
    <x v="90"/>
    <n v="94"/>
    <n v="77"/>
    <x v="1"/>
    <x v="0"/>
    <n v="11"/>
    <n v="0.13253012048192772"/>
    <n v="6"/>
    <n v="7.2289156626506021E-2"/>
    <x v="0"/>
    <m/>
    <m/>
  </r>
  <r>
    <x v="6"/>
    <x v="3"/>
    <x v="0"/>
    <x v="22"/>
    <x v="45"/>
    <n v="58"/>
    <n v="55"/>
    <x v="0"/>
    <x v="1"/>
    <n v="3"/>
    <n v="5.4545454545454543E-2"/>
    <n v="0"/>
    <n v="0"/>
    <x v="0"/>
    <m/>
    <m/>
  </r>
  <r>
    <x v="6"/>
    <x v="3"/>
    <x v="0"/>
    <x v="23"/>
    <x v="186"/>
    <n v="148"/>
    <n v="116"/>
    <x v="0"/>
    <x v="0"/>
    <n v="24"/>
    <n v="0.19354838709677419"/>
    <n v="8"/>
    <n v="6.4516129032258063E-2"/>
    <x v="0"/>
    <m/>
    <m/>
  </r>
  <r>
    <x v="6"/>
    <x v="3"/>
    <x v="1"/>
    <x v="0"/>
    <x v="142"/>
    <n v="151"/>
    <n v="173"/>
    <x v="0"/>
    <x v="0"/>
    <n v="26"/>
    <n v="0.14689265536723164"/>
    <n v="4"/>
    <n v="2.2598870056497175E-2"/>
    <x v="0"/>
    <m/>
    <m/>
  </r>
  <r>
    <x v="6"/>
    <x v="3"/>
    <x v="1"/>
    <x v="1"/>
    <x v="17"/>
    <n v="133"/>
    <n v="170"/>
    <x v="0"/>
    <x v="0"/>
    <n v="39"/>
    <n v="0.22674418604651161"/>
    <n v="2"/>
    <n v="1.1627906976744186E-2"/>
    <x v="0"/>
    <m/>
    <m/>
  </r>
  <r>
    <x v="6"/>
    <x v="3"/>
    <x v="1"/>
    <x v="2"/>
    <x v="133"/>
    <n v="150"/>
    <n v="163"/>
    <x v="0"/>
    <x v="0"/>
    <n v="24"/>
    <n v="0.13793103448275862"/>
    <n v="11"/>
    <n v="6.3218390804597707E-2"/>
    <x v="0"/>
    <m/>
    <m/>
  </r>
  <r>
    <x v="6"/>
    <x v="3"/>
    <x v="1"/>
    <x v="3"/>
    <x v="4"/>
    <n v="146"/>
    <n v="165"/>
    <x v="0"/>
    <x v="0"/>
    <n v="20"/>
    <n v="0.12048192771084337"/>
    <n v="1"/>
    <n v="6.024096385542169E-3"/>
    <x v="0"/>
    <m/>
    <m/>
  </r>
  <r>
    <x v="6"/>
    <x v="3"/>
    <x v="1"/>
    <x v="4"/>
    <x v="33"/>
    <n v="101"/>
    <n v="140"/>
    <x v="0"/>
    <x v="0"/>
    <n v="36"/>
    <n v="0.26277372262773724"/>
    <n v="3"/>
    <n v="2.1897810218978103E-2"/>
    <x v="0"/>
    <m/>
    <m/>
  </r>
  <r>
    <x v="6"/>
    <x v="3"/>
    <x v="1"/>
    <x v="5"/>
    <x v="152"/>
    <n v="153"/>
    <n v="171"/>
    <x v="0"/>
    <x v="0"/>
    <n v="12"/>
    <n v="7.2727272727272724E-2"/>
    <n v="6"/>
    <n v="3.6363636363636362E-2"/>
    <x v="0"/>
    <m/>
    <m/>
  </r>
  <r>
    <x v="6"/>
    <x v="3"/>
    <x v="1"/>
    <x v="6"/>
    <x v="9"/>
    <n v="103"/>
    <n v="121"/>
    <x v="0"/>
    <x v="0"/>
    <n v="9"/>
    <n v="8.0357142857142863E-2"/>
    <n v="9"/>
    <n v="8.0357142857142863E-2"/>
    <x v="0"/>
    <m/>
    <m/>
  </r>
  <r>
    <x v="6"/>
    <x v="3"/>
    <x v="1"/>
    <x v="7"/>
    <x v="87"/>
    <n v="107"/>
    <n v="122"/>
    <x v="0"/>
    <x v="0"/>
    <n v="9"/>
    <n v="7.7586206896551727E-2"/>
    <n v="6"/>
    <n v="5.1724137931034482E-2"/>
    <x v="0"/>
    <m/>
    <m/>
  </r>
  <r>
    <x v="6"/>
    <x v="3"/>
    <x v="1"/>
    <x v="8"/>
    <x v="37"/>
    <n v="82"/>
    <n v="104"/>
    <x v="1"/>
    <x v="0"/>
    <n v="25"/>
    <n v="0.23364485981308411"/>
    <n v="3"/>
    <n v="2.8037383177570093E-2"/>
    <x v="0"/>
    <m/>
    <m/>
  </r>
  <r>
    <x v="6"/>
    <x v="3"/>
    <x v="1"/>
    <x v="9"/>
    <x v="49"/>
    <n v="59"/>
    <n v="56"/>
    <x v="0"/>
    <x v="1"/>
    <n v="1"/>
    <n v="1.6666666666666666E-2"/>
    <n v="4"/>
    <n v="6.6666666666666666E-2"/>
    <x v="0"/>
    <m/>
    <m/>
  </r>
  <r>
    <x v="6"/>
    <x v="3"/>
    <x v="1"/>
    <x v="10"/>
    <x v="9"/>
    <n v="116"/>
    <n v="100"/>
    <x v="0"/>
    <x v="0"/>
    <n v="4"/>
    <n v="3.5714285714285712E-2"/>
    <n v="12"/>
    <n v="0.10714285714285714"/>
    <x v="0"/>
    <m/>
    <m/>
  </r>
  <r>
    <x v="6"/>
    <x v="3"/>
    <x v="1"/>
    <x v="11"/>
    <x v="175"/>
    <n v="129"/>
    <n v="156"/>
    <x v="0"/>
    <x v="0"/>
    <n v="25"/>
    <n v="0.16233766233766234"/>
    <n v="2"/>
    <n v="1.2987012987012988E-2"/>
    <x v="0"/>
    <m/>
    <m/>
  </r>
  <r>
    <x v="6"/>
    <x v="3"/>
    <x v="1"/>
    <x v="12"/>
    <x v="132"/>
    <n v="151"/>
    <n v="166"/>
    <x v="0"/>
    <x v="0"/>
    <n v="12"/>
    <n v="7.3619631901840496E-2"/>
    <n v="3"/>
    <n v="1.8404907975460124E-2"/>
    <x v="0"/>
    <m/>
    <m/>
  </r>
  <r>
    <x v="6"/>
    <x v="3"/>
    <x v="1"/>
    <x v="13"/>
    <x v="132"/>
    <n v="152"/>
    <n v="154"/>
    <x v="1"/>
    <x v="0"/>
    <n v="11"/>
    <n v="6.7484662576687116E-2"/>
    <n v="9"/>
    <n v="5.5214723926380369E-2"/>
    <x v="0"/>
    <m/>
    <m/>
  </r>
  <r>
    <x v="6"/>
    <x v="3"/>
    <x v="1"/>
    <x v="14"/>
    <x v="17"/>
    <n v="152"/>
    <n v="175"/>
    <x v="1"/>
    <x v="0"/>
    <n v="20"/>
    <n v="0.11627906976744186"/>
    <n v="3"/>
    <n v="1.7441860465116279E-2"/>
    <x v="0"/>
    <m/>
    <m/>
  </r>
  <r>
    <x v="6"/>
    <x v="3"/>
    <x v="1"/>
    <x v="15"/>
    <x v="133"/>
    <n v="156"/>
    <n v="168"/>
    <x v="0"/>
    <x v="0"/>
    <n v="18"/>
    <n v="0.10344827586206896"/>
    <n v="6"/>
    <n v="3.4482758620689655E-2"/>
    <x v="0"/>
    <m/>
    <m/>
  </r>
  <r>
    <x v="6"/>
    <x v="3"/>
    <x v="1"/>
    <x v="16"/>
    <x v="65"/>
    <n v="161"/>
    <n v="170"/>
    <x v="1"/>
    <x v="0"/>
    <n v="1"/>
    <n v="6.2500000000000003E-3"/>
    <n v="10"/>
    <n v="6.25E-2"/>
    <x v="0"/>
    <m/>
    <m/>
  </r>
  <r>
    <x v="6"/>
    <x v="3"/>
    <x v="1"/>
    <x v="17"/>
    <x v="61"/>
    <n v="135"/>
    <n v="149"/>
    <x v="0"/>
    <x v="0"/>
    <n v="16"/>
    <n v="0.10596026490066225"/>
    <n v="2"/>
    <n v="1.3245033112582781E-2"/>
    <x v="0"/>
    <m/>
    <m/>
  </r>
  <r>
    <x v="6"/>
    <x v="3"/>
    <x v="1"/>
    <x v="18"/>
    <x v="55"/>
    <n v="52"/>
    <n v="58"/>
    <x v="0"/>
    <x v="1"/>
    <n v="7"/>
    <n v="0.11864406779661017"/>
    <n v="1"/>
    <n v="1.6949152542372881E-2"/>
    <x v="0"/>
    <m/>
    <m/>
  </r>
  <r>
    <x v="6"/>
    <x v="3"/>
    <x v="1"/>
    <x v="19"/>
    <x v="24"/>
    <n v="122"/>
    <n v="119"/>
    <x v="0"/>
    <x v="0"/>
    <n v="5"/>
    <n v="3.937007874015748E-2"/>
    <n v="8"/>
    <n v="6.2992125984251968E-2"/>
    <x v="0"/>
    <m/>
    <m/>
  </r>
  <r>
    <x v="6"/>
    <x v="3"/>
    <x v="1"/>
    <x v="20"/>
    <x v="6"/>
    <n v="117"/>
    <n v="122"/>
    <x v="0"/>
    <x v="0"/>
    <n v="9"/>
    <n v="7.1428571428571425E-2"/>
    <n v="4"/>
    <n v="3.1746031746031744E-2"/>
    <x v="0"/>
    <m/>
    <m/>
  </r>
  <r>
    <x v="6"/>
    <x v="3"/>
    <x v="1"/>
    <x v="21"/>
    <x v="2"/>
    <n v="101"/>
    <n v="108"/>
    <x v="0"/>
    <x v="0"/>
    <n v="3"/>
    <n v="2.8846153846153848E-2"/>
    <n v="4"/>
    <n v="3.8461538461538464E-2"/>
    <x v="0"/>
    <m/>
    <m/>
  </r>
  <r>
    <x v="6"/>
    <x v="3"/>
    <x v="1"/>
    <x v="22"/>
    <x v="156"/>
    <n v="117"/>
    <n v="135"/>
    <x v="0"/>
    <x v="0"/>
    <n v="11"/>
    <n v="8.59375E-2"/>
    <n v="7"/>
    <n v="5.46875E-2"/>
    <x v="0"/>
    <m/>
    <m/>
  </r>
  <r>
    <x v="6"/>
    <x v="3"/>
    <x v="1"/>
    <x v="23"/>
    <x v="77"/>
    <n v="112"/>
    <n v="135"/>
    <x v="0"/>
    <x v="0"/>
    <n v="26"/>
    <n v="0.18840579710144928"/>
    <n v="3"/>
    <n v="2.1739130434782608E-2"/>
    <x v="0"/>
    <m/>
    <m/>
  </r>
  <r>
    <x v="6"/>
    <x v="3"/>
    <x v="2"/>
    <x v="0"/>
    <x v="187"/>
    <n v="45"/>
    <n v="41"/>
    <x v="1"/>
    <x v="1"/>
    <n v="7"/>
    <n v="0.18421052631578946"/>
    <n v="3"/>
    <n v="7.8947368421052627E-2"/>
    <x v="0"/>
    <m/>
    <m/>
  </r>
  <r>
    <x v="6"/>
    <x v="3"/>
    <x v="2"/>
    <x v="1"/>
    <x v="188"/>
    <n v="85"/>
    <n v="81"/>
    <x v="0"/>
    <x v="0"/>
    <n v="4"/>
    <n v="4.9382716049382713E-2"/>
    <n v="0"/>
    <n v="0"/>
    <x v="0"/>
    <m/>
    <m/>
  </r>
  <r>
    <x v="6"/>
    <x v="3"/>
    <x v="2"/>
    <x v="2"/>
    <x v="91"/>
    <n v="81"/>
    <n v="81"/>
    <x v="1"/>
    <x v="0"/>
    <n v="4"/>
    <n v="4.7058823529411764E-2"/>
    <n v="4"/>
    <n v="4.7058823529411764E-2"/>
    <x v="0"/>
    <m/>
    <m/>
  </r>
  <r>
    <x v="6"/>
    <x v="3"/>
    <x v="2"/>
    <x v="3"/>
    <x v="21"/>
    <n v="69"/>
    <n v="69"/>
    <x v="0"/>
    <x v="0"/>
    <n v="5"/>
    <n v="6.7567567567567571E-2"/>
    <n v="5"/>
    <n v="6.7567567567567571E-2"/>
    <x v="0"/>
    <m/>
    <m/>
  </r>
  <r>
    <x v="6"/>
    <x v="3"/>
    <x v="2"/>
    <x v="4"/>
    <x v="41"/>
    <n v="94"/>
    <n v="73"/>
    <x v="0"/>
    <x v="0"/>
    <n v="16"/>
    <n v="0.20512820512820512"/>
    <n v="5"/>
    <n v="6.4102564102564097E-2"/>
    <x v="0"/>
    <m/>
    <m/>
  </r>
  <r>
    <x v="6"/>
    <x v="3"/>
    <x v="2"/>
    <x v="5"/>
    <x v="95"/>
    <n v="70"/>
    <n v="75"/>
    <x v="0"/>
    <x v="0"/>
    <n v="3"/>
    <n v="4.4776119402985072E-2"/>
    <n v="8"/>
    <n v="0.11940298507462686"/>
    <x v="0"/>
    <m/>
    <m/>
  </r>
  <r>
    <x v="6"/>
    <x v="3"/>
    <x v="2"/>
    <x v="6"/>
    <x v="189"/>
    <n v="22"/>
    <n v="27"/>
    <x v="0"/>
    <x v="1"/>
    <n v="5"/>
    <n v="0.18518518518518517"/>
    <n v="0"/>
    <n v="0"/>
    <x v="0"/>
    <m/>
    <m/>
  </r>
  <r>
    <x v="6"/>
    <x v="3"/>
    <x v="2"/>
    <x v="7"/>
    <x v="89"/>
    <n v="61"/>
    <n v="65"/>
    <x v="0"/>
    <x v="0"/>
    <n v="2"/>
    <n v="3.1746031746031744E-2"/>
    <n v="2"/>
    <n v="3.1746031746031744E-2"/>
    <x v="0"/>
    <m/>
    <m/>
  </r>
  <r>
    <x v="6"/>
    <x v="3"/>
    <x v="2"/>
    <x v="8"/>
    <x v="178"/>
    <n v="54"/>
    <n v="47"/>
    <x v="0"/>
    <x v="0"/>
    <n v="3"/>
    <n v="5.8823529411764705E-2"/>
    <n v="4"/>
    <n v="7.8431372549019607E-2"/>
    <x v="0"/>
    <m/>
    <m/>
  </r>
  <r>
    <x v="6"/>
    <x v="3"/>
    <x v="2"/>
    <x v="9"/>
    <x v="178"/>
    <n v="47"/>
    <n v="53"/>
    <x v="0"/>
    <x v="0"/>
    <n v="4"/>
    <n v="7.8431372549019607E-2"/>
    <n v="2"/>
    <n v="3.9215686274509803E-2"/>
    <x v="0"/>
    <m/>
    <m/>
  </r>
  <r>
    <x v="6"/>
    <x v="3"/>
    <x v="2"/>
    <x v="10"/>
    <x v="55"/>
    <n v="65"/>
    <n v="56"/>
    <x v="0"/>
    <x v="0"/>
    <n v="6"/>
    <n v="0.10169491525423729"/>
    <n v="3"/>
    <n v="5.0847457627118647E-2"/>
    <x v="0"/>
    <m/>
    <m/>
  </r>
  <r>
    <x v="6"/>
    <x v="3"/>
    <x v="2"/>
    <x v="11"/>
    <x v="49"/>
    <n v="69"/>
    <n v="59"/>
    <x v="0"/>
    <x v="0"/>
    <n v="9"/>
    <n v="0.15"/>
    <n v="1"/>
    <n v="1.6666666666666666E-2"/>
    <x v="0"/>
    <m/>
    <m/>
  </r>
  <r>
    <x v="6"/>
    <x v="3"/>
    <x v="2"/>
    <x v="12"/>
    <x v="95"/>
    <n v="76"/>
    <n v="64"/>
    <x v="0"/>
    <x v="0"/>
    <n v="9"/>
    <n v="0.13432835820895522"/>
    <n v="3"/>
    <n v="4.4776119402985072E-2"/>
    <x v="0"/>
    <m/>
    <m/>
  </r>
  <r>
    <x v="6"/>
    <x v="3"/>
    <x v="2"/>
    <x v="13"/>
    <x v="26"/>
    <n v="98"/>
    <n v="80"/>
    <x v="0"/>
    <x v="0"/>
    <n v="16"/>
    <n v="0.1951219512195122"/>
    <n v="2"/>
    <n v="2.4390243902439025E-2"/>
    <x v="0"/>
    <m/>
    <m/>
  </r>
  <r>
    <x v="6"/>
    <x v="3"/>
    <x v="2"/>
    <x v="14"/>
    <x v="41"/>
    <n v="83"/>
    <n v="77"/>
    <x v="1"/>
    <x v="0"/>
    <n v="5"/>
    <n v="6.4102564102564097E-2"/>
    <n v="1"/>
    <n v="1.282051282051282E-2"/>
    <x v="0"/>
    <m/>
    <m/>
  </r>
  <r>
    <x v="6"/>
    <x v="3"/>
    <x v="2"/>
    <x v="15"/>
    <x v="52"/>
    <n v="72"/>
    <n v="69"/>
    <x v="0"/>
    <x v="0"/>
    <n v="7"/>
    <n v="0.1076923076923077"/>
    <n v="4"/>
    <n v="6.1538461538461542E-2"/>
    <x v="0"/>
    <m/>
    <m/>
  </r>
  <r>
    <x v="6"/>
    <x v="3"/>
    <x v="2"/>
    <x v="16"/>
    <x v="95"/>
    <n v="68"/>
    <n v="63"/>
    <x v="0"/>
    <x v="0"/>
    <n v="1"/>
    <n v="1.4925373134328358E-2"/>
    <n v="4"/>
    <n v="5.9701492537313432E-2"/>
    <x v="0"/>
    <m/>
    <m/>
  </r>
  <r>
    <x v="6"/>
    <x v="3"/>
    <x v="2"/>
    <x v="17"/>
    <x v="52"/>
    <n v="62"/>
    <n v="70"/>
    <x v="1"/>
    <x v="0"/>
    <n v="3"/>
    <n v="4.6153846153846156E-2"/>
    <n v="5"/>
    <n v="7.6923076923076927E-2"/>
    <x v="0"/>
    <m/>
    <m/>
  </r>
  <r>
    <x v="6"/>
    <x v="3"/>
    <x v="2"/>
    <x v="18"/>
    <x v="190"/>
    <n v="28"/>
    <n v="27"/>
    <x v="0"/>
    <x v="1"/>
    <n v="0"/>
    <n v="0"/>
    <n v="1"/>
    <n v="3.5714285714285712E-2"/>
    <x v="0"/>
    <m/>
    <m/>
  </r>
  <r>
    <x v="6"/>
    <x v="3"/>
    <x v="2"/>
    <x v="19"/>
    <x v="103"/>
    <n v="56"/>
    <n v="50"/>
    <x v="0"/>
    <x v="0"/>
    <n v="3"/>
    <n v="5.6603773584905662E-2"/>
    <n v="3"/>
    <n v="5.6603773584905662E-2"/>
    <x v="0"/>
    <m/>
    <m/>
  </r>
  <r>
    <x v="6"/>
    <x v="3"/>
    <x v="2"/>
    <x v="20"/>
    <x v="47"/>
    <n v="61"/>
    <n v="56"/>
    <x v="0"/>
    <x v="0"/>
    <n v="7"/>
    <n v="0.12962962962962962"/>
    <n v="2"/>
    <n v="3.7037037037037035E-2"/>
    <x v="0"/>
    <m/>
    <m/>
  </r>
  <r>
    <x v="6"/>
    <x v="3"/>
    <x v="2"/>
    <x v="21"/>
    <x v="47"/>
    <n v="59"/>
    <n v="56"/>
    <x v="0"/>
    <x v="0"/>
    <n v="5"/>
    <n v="9.2592592592592587E-2"/>
    <n v="2"/>
    <n v="3.7037037037037035E-2"/>
    <x v="0"/>
    <m/>
    <m/>
  </r>
  <r>
    <x v="6"/>
    <x v="3"/>
    <x v="2"/>
    <x v="22"/>
    <x v="52"/>
    <n v="65"/>
    <n v="63"/>
    <x v="0"/>
    <x v="0"/>
    <n v="0"/>
    <n v="0"/>
    <n v="2"/>
    <n v="3.0769230769230771E-2"/>
    <x v="0"/>
    <m/>
    <m/>
  </r>
  <r>
    <x v="6"/>
    <x v="3"/>
    <x v="2"/>
    <x v="23"/>
    <x v="158"/>
    <n v="54"/>
    <n v="61"/>
    <x v="0"/>
    <x v="0"/>
    <n v="7"/>
    <n v="0.11475409836065574"/>
    <n v="0"/>
    <n v="0"/>
    <x v="0"/>
    <m/>
    <m/>
  </r>
  <r>
    <x v="6"/>
    <x v="3"/>
    <x v="3"/>
    <x v="0"/>
    <x v="191"/>
    <n v="188"/>
    <n v="181"/>
    <x v="0"/>
    <x v="0"/>
    <n v="6"/>
    <n v="3.2967032967032968E-2"/>
    <n v="1"/>
    <n v="5.4945054945054949E-3"/>
    <x v="0"/>
    <m/>
    <m/>
  </r>
  <r>
    <x v="6"/>
    <x v="3"/>
    <x v="3"/>
    <x v="1"/>
    <x v="192"/>
    <n v="204"/>
    <n v="209"/>
    <x v="0"/>
    <x v="0"/>
    <n v="5"/>
    <n v="2.5125628140703519E-2"/>
    <n v="10"/>
    <n v="5.0251256281407038E-2"/>
    <x v="0"/>
    <m/>
    <m/>
  </r>
  <r>
    <x v="6"/>
    <x v="3"/>
    <x v="3"/>
    <x v="2"/>
    <x v="63"/>
    <n v="121"/>
    <n v="148"/>
    <x v="0"/>
    <x v="0"/>
    <n v="31"/>
    <n v="0.20394736842105263"/>
    <n v="4"/>
    <n v="2.6315789473684209E-2"/>
    <x v="0"/>
    <m/>
    <m/>
  </r>
  <r>
    <x v="6"/>
    <x v="3"/>
    <x v="3"/>
    <x v="3"/>
    <x v="150"/>
    <n v="192"/>
    <n v="195"/>
    <x v="0"/>
    <x v="0"/>
    <n v="7"/>
    <n v="3.783783783783784E-2"/>
    <n v="10"/>
    <n v="5.4054054054054057E-2"/>
    <x v="0"/>
    <m/>
    <m/>
  </r>
  <r>
    <x v="6"/>
    <x v="3"/>
    <x v="3"/>
    <x v="4"/>
    <x v="11"/>
    <n v="189"/>
    <n v="163"/>
    <x v="0"/>
    <x v="0"/>
    <n v="21"/>
    <n v="0.125"/>
    <n v="5"/>
    <n v="2.976190476190476E-2"/>
    <x v="0"/>
    <m/>
    <m/>
  </r>
  <r>
    <x v="6"/>
    <x v="3"/>
    <x v="3"/>
    <x v="5"/>
    <x v="113"/>
    <n v="169"/>
    <n v="142"/>
    <x v="0"/>
    <x v="0"/>
    <n v="19"/>
    <n v="0.12666666666666668"/>
    <n v="8"/>
    <n v="5.3333333333333337E-2"/>
    <x v="0"/>
    <m/>
    <m/>
  </r>
  <r>
    <x v="6"/>
    <x v="3"/>
    <x v="3"/>
    <x v="6"/>
    <x v="86"/>
    <n v="143"/>
    <n v="123"/>
    <x v="1"/>
    <x v="0"/>
    <n v="13"/>
    <n v="0.1"/>
    <n v="7"/>
    <n v="5.3846153846153849E-2"/>
    <x v="0"/>
    <m/>
    <m/>
  </r>
  <r>
    <x v="6"/>
    <x v="3"/>
    <x v="3"/>
    <x v="7"/>
    <x v="49"/>
    <n v="61"/>
    <n v="60"/>
    <x v="0"/>
    <x v="1"/>
    <n v="1"/>
    <n v="1.6666666666666666E-2"/>
    <n v="0"/>
    <n v="0"/>
    <x v="0"/>
    <m/>
    <m/>
  </r>
  <r>
    <x v="6"/>
    <x v="3"/>
    <x v="3"/>
    <x v="8"/>
    <x v="59"/>
    <n v="139"/>
    <n v="135"/>
    <x v="0"/>
    <x v="0"/>
    <n v="6"/>
    <n v="4.5112781954887216E-2"/>
    <n v="2"/>
    <n v="1.5037593984962405E-2"/>
    <x v="0"/>
    <m/>
    <m/>
  </r>
  <r>
    <x v="6"/>
    <x v="3"/>
    <x v="3"/>
    <x v="9"/>
    <x v="77"/>
    <n v="145"/>
    <n v="132"/>
    <x v="0"/>
    <x v="0"/>
    <n v="7"/>
    <n v="5.0724637681159424E-2"/>
    <n v="6"/>
    <n v="4.3478260869565216E-2"/>
    <x v="0"/>
    <m/>
    <m/>
  </r>
  <r>
    <x v="6"/>
    <x v="3"/>
    <x v="3"/>
    <x v="10"/>
    <x v="24"/>
    <n v="140"/>
    <n v="119"/>
    <x v="0"/>
    <x v="0"/>
    <n v="13"/>
    <n v="0.10236220472440945"/>
    <n v="8"/>
    <n v="6.2992125984251968E-2"/>
    <x v="0"/>
    <m/>
    <m/>
  </r>
  <r>
    <x v="6"/>
    <x v="3"/>
    <x v="3"/>
    <x v="11"/>
    <x v="22"/>
    <n v="154"/>
    <n v="140"/>
    <x v="0"/>
    <x v="0"/>
    <n v="10"/>
    <n v="6.9444444444444448E-2"/>
    <n v="4"/>
    <n v="2.7777777777777776E-2"/>
    <x v="0"/>
    <m/>
    <m/>
  </r>
  <r>
    <x v="6"/>
    <x v="3"/>
    <x v="3"/>
    <x v="12"/>
    <x v="30"/>
    <n v="156"/>
    <n v="152"/>
    <x v="0"/>
    <x v="0"/>
    <n v="16"/>
    <n v="0.11428571428571428"/>
    <n v="12"/>
    <n v="8.5714285714285715E-2"/>
    <x v="0"/>
    <m/>
    <m/>
  </r>
  <r>
    <x v="6"/>
    <x v="3"/>
    <x v="3"/>
    <x v="13"/>
    <x v="167"/>
    <n v="194"/>
    <n v="182"/>
    <x v="1"/>
    <x v="0"/>
    <n v="18"/>
    <n v="0.10227272727272728"/>
    <n v="6"/>
    <n v="3.4090909090909088E-2"/>
    <x v="0"/>
    <m/>
    <m/>
  </r>
  <r>
    <x v="6"/>
    <x v="3"/>
    <x v="3"/>
    <x v="14"/>
    <x v="163"/>
    <n v="228"/>
    <n v="176"/>
    <x v="0"/>
    <x v="0"/>
    <n v="45"/>
    <n v="0.24590163934426229"/>
    <n v="7"/>
    <n v="3.825136612021858E-2"/>
    <x v="0"/>
    <m/>
    <m/>
  </r>
  <r>
    <x v="6"/>
    <x v="3"/>
    <x v="3"/>
    <x v="15"/>
    <x v="172"/>
    <n v="229"/>
    <n v="204"/>
    <x v="0"/>
    <x v="0"/>
    <n v="22"/>
    <n v="0.10628019323671498"/>
    <n v="3"/>
    <n v="1.4492753623188406E-2"/>
    <x v="0"/>
    <m/>
    <m/>
  </r>
  <r>
    <x v="6"/>
    <x v="3"/>
    <x v="3"/>
    <x v="16"/>
    <x v="153"/>
    <n v="128"/>
    <n v="130"/>
    <x v="0"/>
    <x v="0"/>
    <n v="4"/>
    <n v="3.0303030303030304E-2"/>
    <n v="2"/>
    <n v="1.5151515151515152E-2"/>
    <x v="0"/>
    <m/>
    <m/>
  </r>
  <r>
    <x v="6"/>
    <x v="3"/>
    <x v="3"/>
    <x v="17"/>
    <x v="175"/>
    <n v="136"/>
    <n v="155"/>
    <x v="1"/>
    <x v="0"/>
    <n v="18"/>
    <n v="0.11688311688311688"/>
    <n v="1"/>
    <n v="6.4935064935064939E-3"/>
    <x v="0"/>
    <m/>
    <m/>
  </r>
  <r>
    <x v="6"/>
    <x v="3"/>
    <x v="3"/>
    <x v="18"/>
    <x v="59"/>
    <n v="149"/>
    <n v="127"/>
    <x v="0"/>
    <x v="0"/>
    <n v="16"/>
    <n v="0.12030075187969924"/>
    <n v="6"/>
    <n v="4.5112781954887216E-2"/>
    <x v="0"/>
    <m/>
    <m/>
  </r>
  <r>
    <x v="6"/>
    <x v="3"/>
    <x v="3"/>
    <x v="19"/>
    <x v="16"/>
    <n v="148"/>
    <n v="143"/>
    <x v="0"/>
    <x v="0"/>
    <n v="9"/>
    <n v="6.4748201438848921E-2"/>
    <n v="4"/>
    <n v="2.8776978417266189E-2"/>
    <x v="0"/>
    <m/>
    <m/>
  </r>
  <r>
    <x v="6"/>
    <x v="3"/>
    <x v="3"/>
    <x v="20"/>
    <x v="16"/>
    <n v="165"/>
    <n v="133"/>
    <x v="1"/>
    <x v="0"/>
    <n v="26"/>
    <n v="0.18705035971223022"/>
    <n v="6"/>
    <n v="4.3165467625899283E-2"/>
    <x v="0"/>
    <m/>
    <m/>
  </r>
  <r>
    <x v="6"/>
    <x v="3"/>
    <x v="3"/>
    <x v="21"/>
    <x v="156"/>
    <n v="122"/>
    <n v="131"/>
    <x v="1"/>
    <x v="0"/>
    <n v="6"/>
    <n v="4.6875E-2"/>
    <n v="3"/>
    <n v="2.34375E-2"/>
    <x v="0"/>
    <m/>
    <m/>
  </r>
  <r>
    <x v="6"/>
    <x v="3"/>
    <x v="3"/>
    <x v="22"/>
    <x v="78"/>
    <n v="125"/>
    <n v="117"/>
    <x v="0"/>
    <x v="0"/>
    <n v="6"/>
    <n v="5.0420168067226892E-2"/>
    <n v="2"/>
    <n v="1.680672268907563E-2"/>
    <x v="0"/>
    <m/>
    <m/>
  </r>
  <r>
    <x v="6"/>
    <x v="3"/>
    <x v="3"/>
    <x v="23"/>
    <x v="18"/>
    <n v="139"/>
    <n v="126"/>
    <x v="1"/>
    <x v="0"/>
    <n v="8"/>
    <n v="6.1068702290076333E-2"/>
    <n v="5"/>
    <n v="3.8167938931297711E-2"/>
    <x v="0"/>
    <m/>
    <m/>
  </r>
  <r>
    <x v="7"/>
    <x v="3"/>
    <x v="0"/>
    <x v="0"/>
    <x v="133"/>
    <n v="194"/>
    <n v="179"/>
    <x v="0"/>
    <x v="0"/>
    <n v="20"/>
    <n v="0.11494252873563218"/>
    <n v="5"/>
    <n v="2.8735632183908046E-2"/>
    <x v="0"/>
    <m/>
    <m/>
  </r>
  <r>
    <x v="7"/>
    <x v="3"/>
    <x v="0"/>
    <x v="1"/>
    <x v="182"/>
    <n v="196"/>
    <n v="177"/>
    <x v="1"/>
    <x v="0"/>
    <n v="9"/>
    <n v="4.8128342245989303E-2"/>
    <n v="10"/>
    <n v="5.3475935828877004E-2"/>
    <x v="0"/>
    <m/>
    <m/>
  </r>
  <r>
    <x v="7"/>
    <x v="3"/>
    <x v="0"/>
    <x v="2"/>
    <x v="147"/>
    <n v="225"/>
    <n v="202"/>
    <x v="0"/>
    <x v="0"/>
    <n v="27"/>
    <n v="0.13636363636363635"/>
    <n v="4"/>
    <n v="2.0202020202020204E-2"/>
    <x v="0"/>
    <m/>
    <m/>
  </r>
  <r>
    <x v="7"/>
    <x v="3"/>
    <x v="0"/>
    <x v="3"/>
    <x v="117"/>
    <n v="216"/>
    <n v="201"/>
    <x v="1"/>
    <x v="0"/>
    <n v="6"/>
    <n v="2.8571428571428571E-2"/>
    <n v="9"/>
    <n v="4.2857142857142858E-2"/>
    <x v="0"/>
    <m/>
    <m/>
  </r>
  <r>
    <x v="7"/>
    <x v="3"/>
    <x v="0"/>
    <x v="4"/>
    <x v="191"/>
    <n v="208"/>
    <n v="182"/>
    <x v="0"/>
    <x v="0"/>
    <n v="26"/>
    <n v="0.14285714285714285"/>
    <n v="0"/>
    <n v="0"/>
    <x v="0"/>
    <m/>
    <m/>
  </r>
  <r>
    <x v="7"/>
    <x v="3"/>
    <x v="0"/>
    <x v="5"/>
    <x v="193"/>
    <n v="177"/>
    <n v="146"/>
    <x v="0"/>
    <x v="0"/>
    <n v="22"/>
    <n v="0.14193548387096774"/>
    <n v="9"/>
    <n v="5.8064516129032261E-2"/>
    <x v="0"/>
    <m/>
    <m/>
  </r>
  <r>
    <x v="7"/>
    <x v="3"/>
    <x v="0"/>
    <x v="6"/>
    <x v="59"/>
    <n v="147"/>
    <n v="128"/>
    <x v="0"/>
    <x v="0"/>
    <n v="14"/>
    <n v="0.10526315789473684"/>
    <n v="5"/>
    <n v="3.7593984962406013E-2"/>
    <x v="0"/>
    <m/>
    <m/>
  </r>
  <r>
    <x v="7"/>
    <x v="3"/>
    <x v="0"/>
    <x v="7"/>
    <x v="186"/>
    <n v="143"/>
    <n v="120"/>
    <x v="0"/>
    <x v="0"/>
    <n v="19"/>
    <n v="0.15322580645161291"/>
    <n v="4"/>
    <n v="3.2258064516129031E-2"/>
    <x v="0"/>
    <m/>
    <m/>
  </r>
  <r>
    <x v="7"/>
    <x v="3"/>
    <x v="0"/>
    <x v="8"/>
    <x v="113"/>
    <n v="152"/>
    <n v="152"/>
    <x v="0"/>
    <x v="0"/>
    <n v="2"/>
    <n v="1.3333333333333334E-2"/>
    <n v="2"/>
    <n v="1.3333333333333334E-2"/>
    <x v="0"/>
    <m/>
    <m/>
  </r>
  <r>
    <x v="7"/>
    <x v="3"/>
    <x v="0"/>
    <x v="9"/>
    <x v="73"/>
    <n v="173"/>
    <n v="159"/>
    <x v="0"/>
    <x v="0"/>
    <n v="27"/>
    <n v="0.18493150684931506"/>
    <n v="13"/>
    <n v="8.9041095890410954E-2"/>
    <x v="0"/>
    <m/>
    <m/>
  </r>
  <r>
    <x v="7"/>
    <x v="3"/>
    <x v="0"/>
    <x v="10"/>
    <x v="57"/>
    <n v="177"/>
    <n v="172"/>
    <x v="0"/>
    <x v="0"/>
    <n v="18"/>
    <n v="0.11320754716981132"/>
    <n v="13"/>
    <n v="8.1761006289308172E-2"/>
    <x v="0"/>
    <m/>
    <m/>
  </r>
  <r>
    <x v="7"/>
    <x v="3"/>
    <x v="0"/>
    <x v="11"/>
    <x v="171"/>
    <n v="196"/>
    <n v="172"/>
    <x v="0"/>
    <x v="0"/>
    <n v="23"/>
    <n v="0.13294797687861271"/>
    <n v="1"/>
    <n v="5.7803468208092483E-3"/>
    <x v="0"/>
    <m/>
    <m/>
  </r>
  <r>
    <x v="7"/>
    <x v="3"/>
    <x v="0"/>
    <x v="12"/>
    <x v="108"/>
    <n v="221"/>
    <n v="190"/>
    <x v="1"/>
    <x v="0"/>
    <n v="17"/>
    <n v="8.3333333333333329E-2"/>
    <n v="14"/>
    <n v="6.8627450980392163E-2"/>
    <x v="0"/>
    <m/>
    <m/>
  </r>
  <r>
    <x v="7"/>
    <x v="3"/>
    <x v="0"/>
    <x v="13"/>
    <x v="17"/>
    <n v="201"/>
    <n v="165"/>
    <x v="0"/>
    <x v="0"/>
    <n v="29"/>
    <n v="0.16860465116279069"/>
    <n v="7"/>
    <n v="4.0697674418604654E-2"/>
    <x v="0"/>
    <m/>
    <m/>
  </r>
  <r>
    <x v="7"/>
    <x v="3"/>
    <x v="0"/>
    <x v="14"/>
    <x v="108"/>
    <n v="209"/>
    <n v="208"/>
    <x v="1"/>
    <x v="0"/>
    <n v="5"/>
    <n v="2.4509803921568627E-2"/>
    <n v="4"/>
    <n v="1.9607843137254902E-2"/>
    <x v="0"/>
    <m/>
    <m/>
  </r>
  <r>
    <x v="7"/>
    <x v="3"/>
    <x v="0"/>
    <x v="15"/>
    <x v="146"/>
    <n v="277"/>
    <n v="202"/>
    <x v="0"/>
    <x v="0"/>
    <n v="39"/>
    <n v="0.1638655462184874"/>
    <n v="36"/>
    <n v="0.15126050420168066"/>
    <x v="0"/>
    <m/>
    <m/>
  </r>
  <r>
    <x v="7"/>
    <x v="3"/>
    <x v="0"/>
    <x v="16"/>
    <x v="172"/>
    <n v="221"/>
    <n v="230"/>
    <x v="0"/>
    <x v="0"/>
    <n v="14"/>
    <n v="6.7632850241545889E-2"/>
    <n v="23"/>
    <n v="0.1111111111111111"/>
    <x v="0"/>
    <m/>
    <m/>
  </r>
  <r>
    <x v="7"/>
    <x v="3"/>
    <x v="0"/>
    <x v="17"/>
    <x v="64"/>
    <n v="164"/>
    <n v="151"/>
    <x v="1"/>
    <x v="0"/>
    <n v="5"/>
    <n v="2.9585798816568046E-2"/>
    <n v="18"/>
    <n v="0.10650887573964497"/>
    <x v="0"/>
    <m/>
    <m/>
  </r>
  <r>
    <x v="7"/>
    <x v="3"/>
    <x v="0"/>
    <x v="18"/>
    <x v="176"/>
    <n v="210"/>
    <n v="183"/>
    <x v="0"/>
    <x v="0"/>
    <n v="26"/>
    <n v="0.14130434782608695"/>
    <n v="1"/>
    <n v="5.434782608695652E-3"/>
    <x v="0"/>
    <m/>
    <m/>
  </r>
  <r>
    <x v="7"/>
    <x v="3"/>
    <x v="0"/>
    <x v="19"/>
    <x v="59"/>
    <n v="154"/>
    <n v="127"/>
    <x v="0"/>
    <x v="0"/>
    <n v="21"/>
    <n v="0.15789473684210525"/>
    <n v="6"/>
    <n v="4.5112781954887216E-2"/>
    <x v="0"/>
    <m/>
    <m/>
  </r>
  <r>
    <x v="7"/>
    <x v="3"/>
    <x v="0"/>
    <x v="20"/>
    <x v="20"/>
    <n v="99"/>
    <n v="125"/>
    <x v="0"/>
    <x v="0"/>
    <n v="23"/>
    <n v="0.18852459016393441"/>
    <n v="3"/>
    <n v="2.4590163934426229E-2"/>
    <x v="0"/>
    <m/>
    <m/>
  </r>
  <r>
    <x v="7"/>
    <x v="3"/>
    <x v="0"/>
    <x v="21"/>
    <x v="144"/>
    <n v="143"/>
    <n v="138"/>
    <x v="1"/>
    <x v="0"/>
    <n v="20"/>
    <n v="0.16260162601626016"/>
    <n v="15"/>
    <n v="0.12195121951219512"/>
    <x v="0"/>
    <m/>
    <m/>
  </r>
  <r>
    <x v="7"/>
    <x v="3"/>
    <x v="0"/>
    <x v="22"/>
    <x v="1"/>
    <n v="182"/>
    <n v="170"/>
    <x v="0"/>
    <x v="0"/>
    <n v="21"/>
    <n v="0.13043478260869565"/>
    <n v="9"/>
    <n v="5.5900621118012424E-2"/>
    <x v="0"/>
    <m/>
    <m/>
  </r>
  <r>
    <x v="7"/>
    <x v="3"/>
    <x v="0"/>
    <x v="23"/>
    <x v="73"/>
    <n v="149"/>
    <n v="150"/>
    <x v="0"/>
    <x v="0"/>
    <n v="3"/>
    <n v="2.0547945205479451E-2"/>
    <n v="4"/>
    <n v="2.7397260273972601E-2"/>
    <x v="0"/>
    <m/>
    <m/>
  </r>
  <r>
    <x v="7"/>
    <x v="3"/>
    <x v="1"/>
    <x v="0"/>
    <x v="22"/>
    <n v="158"/>
    <n v="152"/>
    <x v="1"/>
    <x v="0"/>
    <n v="14"/>
    <n v="9.7222222222222224E-2"/>
    <n v="8"/>
    <n v="5.5555555555555552E-2"/>
    <x v="0"/>
    <m/>
    <m/>
  </r>
  <r>
    <x v="7"/>
    <x v="3"/>
    <x v="1"/>
    <x v="1"/>
    <x v="173"/>
    <n v="191"/>
    <n v="201"/>
    <x v="1"/>
    <x v="0"/>
    <n v="0"/>
    <n v="0"/>
    <n v="10"/>
    <n v="5.2356020942408377E-2"/>
    <x v="0"/>
    <m/>
    <m/>
  </r>
  <r>
    <x v="7"/>
    <x v="3"/>
    <x v="1"/>
    <x v="2"/>
    <x v="143"/>
    <n v="205"/>
    <n v="222"/>
    <x v="0"/>
    <x v="0"/>
    <n v="4"/>
    <n v="1.9138755980861243E-2"/>
    <n v="13"/>
    <n v="6.2200956937799042E-2"/>
    <x v="0"/>
    <m/>
    <m/>
  </r>
  <r>
    <x v="7"/>
    <x v="3"/>
    <x v="1"/>
    <x v="3"/>
    <x v="137"/>
    <n v="162"/>
    <n v="173"/>
    <x v="0"/>
    <x v="0"/>
    <n v="13"/>
    <n v="7.4285714285714288E-2"/>
    <n v="2"/>
    <n v="1.1428571428571429E-2"/>
    <x v="0"/>
    <m/>
    <m/>
  </r>
  <r>
    <x v="7"/>
    <x v="3"/>
    <x v="1"/>
    <x v="4"/>
    <x v="167"/>
    <n v="158"/>
    <n v="183"/>
    <x v="0"/>
    <x v="0"/>
    <n v="18"/>
    <n v="0.10227272727272728"/>
    <n v="7"/>
    <n v="3.9772727272727272E-2"/>
    <x v="0"/>
    <m/>
    <m/>
  </r>
  <r>
    <x v="7"/>
    <x v="3"/>
    <x v="1"/>
    <x v="5"/>
    <x v="4"/>
    <n v="169"/>
    <n v="161"/>
    <x v="1"/>
    <x v="0"/>
    <n v="3"/>
    <n v="1.8072289156626505E-2"/>
    <n v="5"/>
    <n v="3.0120481927710843E-2"/>
    <x v="0"/>
    <m/>
    <m/>
  </r>
  <r>
    <x v="7"/>
    <x v="3"/>
    <x v="1"/>
    <x v="6"/>
    <x v="63"/>
    <n v="129"/>
    <n v="145"/>
    <x v="0"/>
    <x v="0"/>
    <n v="23"/>
    <n v="0.15131578947368421"/>
    <n v="7"/>
    <n v="4.6052631578947366E-2"/>
    <x v="0"/>
    <m/>
    <m/>
  </r>
  <r>
    <x v="7"/>
    <x v="3"/>
    <x v="1"/>
    <x v="7"/>
    <x v="186"/>
    <n v="123"/>
    <n v="125"/>
    <x v="0"/>
    <x v="0"/>
    <n v="1"/>
    <n v="8.0645161290322578E-3"/>
    <n v="1"/>
    <n v="8.0645161290322578E-3"/>
    <x v="0"/>
    <m/>
    <m/>
  </r>
  <r>
    <x v="7"/>
    <x v="3"/>
    <x v="1"/>
    <x v="8"/>
    <x v="24"/>
    <n v="115"/>
    <n v="126"/>
    <x v="1"/>
    <x v="0"/>
    <n v="12"/>
    <n v="9.4488188976377951E-2"/>
    <n v="1"/>
    <n v="7.874015748031496E-3"/>
    <x v="0"/>
    <m/>
    <m/>
  </r>
  <r>
    <x v="7"/>
    <x v="3"/>
    <x v="1"/>
    <x v="9"/>
    <x v="16"/>
    <n v="133"/>
    <n v="144"/>
    <x v="0"/>
    <x v="0"/>
    <n v="6"/>
    <n v="4.3165467625899283E-2"/>
    <n v="5"/>
    <n v="3.5971223021582732E-2"/>
    <x v="0"/>
    <m/>
    <m/>
  </r>
  <r>
    <x v="7"/>
    <x v="3"/>
    <x v="1"/>
    <x v="10"/>
    <x v="154"/>
    <n v="110"/>
    <n v="157"/>
    <x v="0"/>
    <x v="0"/>
    <n v="38"/>
    <n v="0.25675675675675674"/>
    <n v="9"/>
    <n v="6.0810810810810814E-2"/>
    <x v="0"/>
    <m/>
    <m/>
  </r>
  <r>
    <x v="7"/>
    <x v="3"/>
    <x v="1"/>
    <x v="11"/>
    <x v="57"/>
    <n v="141"/>
    <n v="139"/>
    <x v="0"/>
    <x v="0"/>
    <n v="18"/>
    <n v="0.11320754716981132"/>
    <n v="20"/>
    <n v="0.12578616352201258"/>
    <x v="0"/>
    <m/>
    <m/>
  </r>
  <r>
    <x v="7"/>
    <x v="3"/>
    <x v="1"/>
    <x v="12"/>
    <x v="76"/>
    <n v="143"/>
    <n v="141"/>
    <x v="0"/>
    <x v="0"/>
    <n v="14"/>
    <n v="8.9171974522292988E-2"/>
    <n v="16"/>
    <n v="0.10191082802547771"/>
    <x v="0"/>
    <m/>
    <m/>
  </r>
  <r>
    <x v="7"/>
    <x v="3"/>
    <x v="1"/>
    <x v="13"/>
    <x v="137"/>
    <n v="183"/>
    <n v="174"/>
    <x v="0"/>
    <x v="0"/>
    <n v="8"/>
    <n v="4.5714285714285714E-2"/>
    <n v="1"/>
    <n v="5.7142857142857143E-3"/>
    <x v="0"/>
    <m/>
    <m/>
  </r>
  <r>
    <x v="7"/>
    <x v="3"/>
    <x v="1"/>
    <x v="14"/>
    <x v="109"/>
    <n v="181"/>
    <n v="203"/>
    <x v="0"/>
    <x v="0"/>
    <n v="31"/>
    <n v="0.14622641509433962"/>
    <n v="9"/>
    <n v="4.2452830188679243E-2"/>
    <x v="0"/>
    <m/>
    <m/>
  </r>
  <r>
    <x v="7"/>
    <x v="3"/>
    <x v="1"/>
    <x v="15"/>
    <x v="58"/>
    <n v="170"/>
    <n v="201"/>
    <x v="0"/>
    <x v="0"/>
    <n v="19"/>
    <n v="0.10052910052910052"/>
    <n v="12"/>
    <n v="6.3492063492063489E-2"/>
    <x v="0"/>
    <m/>
    <m/>
  </r>
  <r>
    <x v="7"/>
    <x v="3"/>
    <x v="1"/>
    <x v="16"/>
    <x v="163"/>
    <n v="190"/>
    <n v="176"/>
    <x v="1"/>
    <x v="0"/>
    <n v="7"/>
    <n v="3.825136612021858E-2"/>
    <n v="7"/>
    <n v="3.825136612021858E-2"/>
    <x v="0"/>
    <m/>
    <m/>
  </r>
  <r>
    <x v="7"/>
    <x v="3"/>
    <x v="1"/>
    <x v="17"/>
    <x v="17"/>
    <n v="147"/>
    <n v="165"/>
    <x v="0"/>
    <x v="0"/>
    <n v="25"/>
    <n v="0.14534883720930233"/>
    <n v="7"/>
    <n v="4.0697674418604654E-2"/>
    <x v="0"/>
    <m/>
    <m/>
  </r>
  <r>
    <x v="7"/>
    <x v="3"/>
    <x v="1"/>
    <x v="18"/>
    <x v="6"/>
    <n v="104"/>
    <n v="131"/>
    <x v="0"/>
    <x v="0"/>
    <n v="22"/>
    <n v="0.17460317460317459"/>
    <n v="5"/>
    <n v="3.968253968253968E-2"/>
    <x v="0"/>
    <m/>
    <m/>
  </r>
  <r>
    <x v="7"/>
    <x v="3"/>
    <x v="1"/>
    <x v="19"/>
    <x v="78"/>
    <n v="110"/>
    <n v="121"/>
    <x v="0"/>
    <x v="0"/>
    <n v="9"/>
    <n v="7.5630252100840331E-2"/>
    <n v="2"/>
    <n v="1.680672268907563E-2"/>
    <x v="0"/>
    <m/>
    <m/>
  </r>
  <r>
    <x v="7"/>
    <x v="3"/>
    <x v="1"/>
    <x v="20"/>
    <x v="111"/>
    <n v="118"/>
    <n v="117"/>
    <x v="0"/>
    <x v="0"/>
    <n v="11"/>
    <n v="8.5271317829457363E-2"/>
    <n v="12"/>
    <n v="9.3023255813953487E-2"/>
    <x v="0"/>
    <m/>
    <m/>
  </r>
  <r>
    <x v="7"/>
    <x v="3"/>
    <x v="1"/>
    <x v="21"/>
    <x v="18"/>
    <n v="109"/>
    <n v="133"/>
    <x v="0"/>
    <x v="0"/>
    <n v="22"/>
    <n v="0.16793893129770993"/>
    <n v="2"/>
    <n v="1.5267175572519083E-2"/>
    <x v="0"/>
    <m/>
    <m/>
  </r>
  <r>
    <x v="7"/>
    <x v="3"/>
    <x v="1"/>
    <x v="22"/>
    <x v="86"/>
    <n v="136"/>
    <n v="130"/>
    <x v="1"/>
    <x v="0"/>
    <n v="6"/>
    <n v="4.6153846153846156E-2"/>
    <n v="0"/>
    <n v="0"/>
    <x v="0"/>
    <m/>
    <m/>
  </r>
  <r>
    <x v="7"/>
    <x v="3"/>
    <x v="1"/>
    <x v="23"/>
    <x v="90"/>
    <n v="82"/>
    <n v="83"/>
    <x v="0"/>
    <x v="1"/>
    <n v="1"/>
    <n v="1.2048192771084338E-2"/>
    <n v="0"/>
    <n v="0"/>
    <x v="0"/>
    <m/>
    <m/>
  </r>
  <r>
    <x v="7"/>
    <x v="3"/>
    <x v="2"/>
    <x v="0"/>
    <x v="194"/>
    <n v="29"/>
    <n v="29"/>
    <x v="0"/>
    <x v="1"/>
    <n v="0"/>
    <n v="0"/>
    <n v="0"/>
    <n v="0"/>
    <x v="0"/>
    <m/>
    <m/>
  </r>
  <r>
    <x v="7"/>
    <x v="3"/>
    <x v="2"/>
    <x v="1"/>
    <x v="46"/>
    <n v="68"/>
    <n v="58"/>
    <x v="0"/>
    <x v="0"/>
    <n v="2"/>
    <n v="3.0303030303030304E-2"/>
    <n v="8"/>
    <n v="0.12121212121212122"/>
    <x v="0"/>
    <m/>
    <m/>
  </r>
  <r>
    <x v="7"/>
    <x v="3"/>
    <x v="2"/>
    <x v="2"/>
    <x v="55"/>
    <n v="51"/>
    <n v="53"/>
    <x v="0"/>
    <x v="0"/>
    <n v="8"/>
    <n v="0.13559322033898305"/>
    <n v="6"/>
    <n v="0.10169491525423729"/>
    <x v="0"/>
    <m/>
    <m/>
  </r>
  <r>
    <x v="7"/>
    <x v="3"/>
    <x v="2"/>
    <x v="3"/>
    <x v="97"/>
    <n v="55"/>
    <n v="56"/>
    <x v="0"/>
    <x v="0"/>
    <n v="1"/>
    <n v="1.7857142857142856E-2"/>
    <n v="0"/>
    <n v="0"/>
    <x v="0"/>
    <m/>
    <m/>
  </r>
  <r>
    <x v="7"/>
    <x v="3"/>
    <x v="2"/>
    <x v="4"/>
    <x v="44"/>
    <n v="33"/>
    <n v="31"/>
    <x v="1"/>
    <x v="1"/>
    <n v="1"/>
    <n v="3.125E-2"/>
    <n v="1"/>
    <n v="3.125E-2"/>
    <x v="0"/>
    <m/>
    <m/>
  </r>
  <r>
    <x v="7"/>
    <x v="3"/>
    <x v="2"/>
    <x v="5"/>
    <x v="136"/>
    <n v="42"/>
    <n v="46"/>
    <x v="0"/>
    <x v="0"/>
    <n v="7"/>
    <n v="0.14285714285714285"/>
    <n v="3"/>
    <n v="6.1224489795918366E-2"/>
    <x v="0"/>
    <m/>
    <m/>
  </r>
  <r>
    <x v="7"/>
    <x v="3"/>
    <x v="2"/>
    <x v="6"/>
    <x v="121"/>
    <n v="50"/>
    <n v="57"/>
    <x v="0"/>
    <x v="0"/>
    <n v="2"/>
    <n v="3.8461538461538464E-2"/>
    <n v="5"/>
    <n v="9.6153846153846159E-2"/>
    <x v="0"/>
    <m/>
    <m/>
  </r>
  <r>
    <x v="7"/>
    <x v="3"/>
    <x v="2"/>
    <x v="7"/>
    <x v="178"/>
    <n v="58"/>
    <n v="49"/>
    <x v="1"/>
    <x v="0"/>
    <n v="7"/>
    <n v="0.13725490196078433"/>
    <n v="2"/>
    <n v="3.9215686274509803E-2"/>
    <x v="0"/>
    <m/>
    <m/>
  </r>
  <r>
    <x v="7"/>
    <x v="3"/>
    <x v="2"/>
    <x v="8"/>
    <x v="134"/>
    <n v="50"/>
    <n v="44"/>
    <x v="0"/>
    <x v="0"/>
    <n v="2"/>
    <n v="4.1666666666666664E-2"/>
    <n v="4"/>
    <n v="8.3333333333333329E-2"/>
    <x v="0"/>
    <m/>
    <m/>
  </r>
  <r>
    <x v="7"/>
    <x v="3"/>
    <x v="2"/>
    <x v="9"/>
    <x v="70"/>
    <n v="51"/>
    <n v="39"/>
    <x v="0"/>
    <x v="0"/>
    <n v="9"/>
    <n v="0.21428571428571427"/>
    <n v="3"/>
    <n v="7.1428571428571425E-2"/>
    <x v="0"/>
    <m/>
    <m/>
  </r>
  <r>
    <x v="7"/>
    <x v="3"/>
    <x v="2"/>
    <x v="10"/>
    <x v="195"/>
    <n v="30"/>
    <n v="28"/>
    <x v="0"/>
    <x v="1"/>
    <n v="4"/>
    <n v="0.15384615384615385"/>
    <n v="2"/>
    <n v="7.6923076923076927E-2"/>
    <x v="0"/>
    <m/>
    <m/>
  </r>
  <r>
    <x v="7"/>
    <x v="3"/>
    <x v="2"/>
    <x v="11"/>
    <x v="103"/>
    <n v="55"/>
    <n v="52"/>
    <x v="1"/>
    <x v="0"/>
    <n v="2"/>
    <n v="3.7735849056603772E-2"/>
    <n v="1"/>
    <n v="1.8867924528301886E-2"/>
    <x v="0"/>
    <m/>
    <m/>
  </r>
  <r>
    <x v="7"/>
    <x v="3"/>
    <x v="2"/>
    <x v="12"/>
    <x v="53"/>
    <n v="50"/>
    <n v="66"/>
    <x v="0"/>
    <x v="0"/>
    <n v="14"/>
    <n v="0.21875"/>
    <n v="2"/>
    <n v="3.125E-2"/>
    <x v="0"/>
    <m/>
    <m/>
  </r>
  <r>
    <x v="7"/>
    <x v="3"/>
    <x v="2"/>
    <x v="13"/>
    <x v="46"/>
    <n v="63"/>
    <n v="64"/>
    <x v="0"/>
    <x v="0"/>
    <n v="3"/>
    <n v="4.5454545454545456E-2"/>
    <n v="2"/>
    <n v="3.0303030303030304E-2"/>
    <x v="0"/>
    <m/>
    <m/>
  </r>
  <r>
    <x v="7"/>
    <x v="3"/>
    <x v="2"/>
    <x v="14"/>
    <x v="89"/>
    <n v="64"/>
    <n v="65"/>
    <x v="0"/>
    <x v="0"/>
    <n v="1"/>
    <n v="1.5873015873015872E-2"/>
    <n v="2"/>
    <n v="3.1746031746031744E-2"/>
    <x v="0"/>
    <m/>
    <m/>
  </r>
  <r>
    <x v="7"/>
    <x v="3"/>
    <x v="2"/>
    <x v="15"/>
    <x v="95"/>
    <n v="65"/>
    <n v="66"/>
    <x v="0"/>
    <x v="0"/>
    <n v="2"/>
    <n v="2.9850746268656716E-2"/>
    <n v="1"/>
    <n v="1.4925373134328358E-2"/>
    <x v="0"/>
    <m/>
    <m/>
  </r>
  <r>
    <x v="7"/>
    <x v="3"/>
    <x v="2"/>
    <x v="16"/>
    <x v="100"/>
    <n v="57"/>
    <n v="50"/>
    <x v="1"/>
    <x v="0"/>
    <n v="7"/>
    <n v="0.14000000000000001"/>
    <n v="0"/>
    <n v="0"/>
    <x v="0"/>
    <m/>
    <m/>
  </r>
  <r>
    <x v="7"/>
    <x v="3"/>
    <x v="2"/>
    <x v="17"/>
    <x v="89"/>
    <n v="68"/>
    <n v="67"/>
    <x v="1"/>
    <x v="0"/>
    <n v="5"/>
    <n v="7.9365079365079361E-2"/>
    <n v="4"/>
    <n v="6.3492063492063489E-2"/>
    <x v="0"/>
    <m/>
    <m/>
  </r>
  <r>
    <x v="7"/>
    <x v="3"/>
    <x v="2"/>
    <x v="18"/>
    <x v="99"/>
    <n v="33"/>
    <n v="30"/>
    <x v="0"/>
    <x v="1"/>
    <n v="3"/>
    <n v="0.1"/>
    <n v="0"/>
    <n v="0"/>
    <x v="0"/>
    <m/>
    <m/>
  </r>
  <r>
    <x v="7"/>
    <x v="3"/>
    <x v="2"/>
    <x v="19"/>
    <x v="185"/>
    <n v="42"/>
    <n v="38"/>
    <x v="0"/>
    <x v="0"/>
    <n v="2"/>
    <n v="0.05"/>
    <n v="2"/>
    <n v="0.05"/>
    <x v="0"/>
    <m/>
    <m/>
  </r>
  <r>
    <x v="7"/>
    <x v="3"/>
    <x v="2"/>
    <x v="20"/>
    <x v="34"/>
    <n v="43"/>
    <n v="46"/>
    <x v="1"/>
    <x v="0"/>
    <n v="4"/>
    <n v="8.5106382978723402E-2"/>
    <n v="1"/>
    <n v="2.1276595744680851E-2"/>
    <x v="0"/>
    <m/>
    <m/>
  </r>
  <r>
    <x v="7"/>
    <x v="3"/>
    <x v="2"/>
    <x v="21"/>
    <x v="70"/>
    <n v="41"/>
    <n v="39"/>
    <x v="0"/>
    <x v="0"/>
    <n v="1"/>
    <n v="2.3809523809523808E-2"/>
    <n v="3"/>
    <n v="7.1428571428571425E-2"/>
    <x v="0"/>
    <m/>
    <m/>
  </r>
  <r>
    <x v="7"/>
    <x v="3"/>
    <x v="2"/>
    <x v="22"/>
    <x v="196"/>
    <n v="43"/>
    <n v="36"/>
    <x v="0"/>
    <x v="0"/>
    <n v="8"/>
    <n v="0.22857142857142856"/>
    <n v="1"/>
    <n v="2.8571428571428571E-2"/>
    <x v="0"/>
    <m/>
    <m/>
  </r>
  <r>
    <x v="7"/>
    <x v="3"/>
    <x v="2"/>
    <x v="23"/>
    <x v="103"/>
    <n v="63"/>
    <n v="58"/>
    <x v="0"/>
    <x v="0"/>
    <n v="10"/>
    <n v="0.18867924528301888"/>
    <n v="5"/>
    <n v="9.4339622641509441E-2"/>
    <x v="0"/>
    <m/>
    <m/>
  </r>
  <r>
    <x v="7"/>
    <x v="3"/>
    <x v="3"/>
    <x v="0"/>
    <x v="53"/>
    <n v="59"/>
    <n v="62"/>
    <x v="1"/>
    <x v="0"/>
    <n v="5"/>
    <n v="7.8125E-2"/>
    <n v="2"/>
    <n v="3.125E-2"/>
    <x v="0"/>
    <m/>
    <m/>
  </r>
  <r>
    <x v="7"/>
    <x v="3"/>
    <x v="3"/>
    <x v="1"/>
    <x v="81"/>
    <n v="69"/>
    <n v="67"/>
    <x v="1"/>
    <x v="0"/>
    <n v="1"/>
    <n v="1.4705882352941176E-2"/>
    <n v="1"/>
    <n v="1.4705882352941176E-2"/>
    <x v="0"/>
    <m/>
    <m/>
  </r>
  <r>
    <x v="7"/>
    <x v="3"/>
    <x v="3"/>
    <x v="2"/>
    <x v="197"/>
    <n v="66"/>
    <n v="66"/>
    <x v="0"/>
    <x v="0"/>
    <n v="3"/>
    <n v="4.3478260869565216E-2"/>
    <n v="3"/>
    <n v="4.3478260869565216E-2"/>
    <x v="0"/>
    <m/>
    <m/>
  </r>
  <r>
    <x v="7"/>
    <x v="3"/>
    <x v="3"/>
    <x v="3"/>
    <x v="55"/>
    <n v="68"/>
    <n v="52"/>
    <x v="1"/>
    <x v="0"/>
    <n v="9"/>
    <n v="0.15254237288135594"/>
    <n v="7"/>
    <n v="0.11864406779661017"/>
    <x v="0"/>
    <m/>
    <m/>
  </r>
  <r>
    <x v="7"/>
    <x v="3"/>
    <x v="3"/>
    <x v="4"/>
    <x v="10"/>
    <n v="85"/>
    <n v="69"/>
    <x v="0"/>
    <x v="0"/>
    <n v="14"/>
    <n v="0.19718309859154928"/>
    <n v="2"/>
    <n v="2.8169014084507043E-2"/>
    <x v="0"/>
    <m/>
    <m/>
  </r>
  <r>
    <x v="7"/>
    <x v="3"/>
    <x v="3"/>
    <x v="5"/>
    <x v="70"/>
    <n v="40"/>
    <n v="40"/>
    <x v="0"/>
    <x v="0"/>
    <n v="2"/>
    <n v="4.7619047619047616E-2"/>
    <n v="2"/>
    <n v="4.7619047619047616E-2"/>
    <x v="0"/>
    <m/>
    <m/>
  </r>
  <r>
    <x v="7"/>
    <x v="3"/>
    <x v="3"/>
    <x v="6"/>
    <x v="99"/>
    <n v="34"/>
    <n v="28"/>
    <x v="0"/>
    <x v="1"/>
    <n v="4"/>
    <n v="0.13333333333333333"/>
    <n v="2"/>
    <n v="6.6666666666666666E-2"/>
    <x v="0"/>
    <m/>
    <m/>
  </r>
  <r>
    <x v="7"/>
    <x v="3"/>
    <x v="3"/>
    <x v="7"/>
    <x v="185"/>
    <n v="44"/>
    <n v="38"/>
    <x v="0"/>
    <x v="0"/>
    <n v="4"/>
    <n v="0.1"/>
    <n v="2"/>
    <n v="0.05"/>
    <x v="0"/>
    <m/>
    <m/>
  </r>
  <r>
    <x v="7"/>
    <x v="3"/>
    <x v="3"/>
    <x v="8"/>
    <x v="100"/>
    <n v="53"/>
    <n v="49"/>
    <x v="0"/>
    <x v="0"/>
    <n v="3"/>
    <n v="0.06"/>
    <n v="1"/>
    <n v="0.02"/>
    <x v="0"/>
    <m/>
    <m/>
  </r>
  <r>
    <x v="7"/>
    <x v="3"/>
    <x v="3"/>
    <x v="9"/>
    <x v="198"/>
    <n v="49"/>
    <n v="46"/>
    <x v="0"/>
    <x v="0"/>
    <n v="3"/>
    <n v="6.5217391304347824E-2"/>
    <n v="0"/>
    <n v="0"/>
    <x v="0"/>
    <m/>
    <m/>
  </r>
  <r>
    <x v="7"/>
    <x v="3"/>
    <x v="3"/>
    <x v="10"/>
    <x v="103"/>
    <n v="56"/>
    <n v="54"/>
    <x v="0"/>
    <x v="0"/>
    <n v="3"/>
    <n v="5.6603773584905662E-2"/>
    <n v="1"/>
    <n v="1.8867924528301886E-2"/>
    <x v="0"/>
    <m/>
    <m/>
  </r>
  <r>
    <x v="7"/>
    <x v="3"/>
    <x v="3"/>
    <x v="11"/>
    <x v="47"/>
    <n v="66"/>
    <n v="49"/>
    <x v="0"/>
    <x v="0"/>
    <n v="12"/>
    <n v="0.22222222222222221"/>
    <n v="5"/>
    <n v="9.2592592592592587E-2"/>
    <x v="0"/>
    <m/>
    <m/>
  </r>
  <r>
    <x v="7"/>
    <x v="3"/>
    <x v="3"/>
    <x v="12"/>
    <x v="101"/>
    <n v="64"/>
    <n v="61"/>
    <x v="1"/>
    <x v="0"/>
    <n v="6"/>
    <n v="0.10344827586206896"/>
    <n v="3"/>
    <n v="5.1724137931034482E-2"/>
    <x v="0"/>
    <m/>
    <m/>
  </r>
  <r>
    <x v="7"/>
    <x v="3"/>
    <x v="3"/>
    <x v="13"/>
    <x v="121"/>
    <n v="50"/>
    <n v="56"/>
    <x v="0"/>
    <x v="0"/>
    <n v="2"/>
    <n v="3.8461538461538464E-2"/>
    <n v="4"/>
    <n v="7.6923076923076927E-2"/>
    <x v="0"/>
    <m/>
    <m/>
  </r>
  <r>
    <x v="7"/>
    <x v="3"/>
    <x v="3"/>
    <x v="14"/>
    <x v="52"/>
    <n v="61"/>
    <n v="64"/>
    <x v="0"/>
    <x v="0"/>
    <n v="4"/>
    <n v="6.1538461538461542E-2"/>
    <n v="1"/>
    <n v="1.5384615384615385E-2"/>
    <x v="0"/>
    <m/>
    <m/>
  </r>
  <r>
    <x v="7"/>
    <x v="3"/>
    <x v="3"/>
    <x v="15"/>
    <x v="26"/>
    <n v="99"/>
    <n v="89"/>
    <x v="0"/>
    <x v="0"/>
    <n v="17"/>
    <n v="0.2073170731707317"/>
    <n v="7"/>
    <n v="8.5365853658536592E-2"/>
    <x v="0"/>
    <m/>
    <m/>
  </r>
  <r>
    <x v="7"/>
    <x v="3"/>
    <x v="3"/>
    <x v="16"/>
    <x v="93"/>
    <n v="94"/>
    <n v="79"/>
    <x v="0"/>
    <x v="0"/>
    <n v="17"/>
    <n v="0.22077922077922077"/>
    <n v="2"/>
    <n v="2.5974025974025976E-2"/>
    <x v="0"/>
    <m/>
    <m/>
  </r>
  <r>
    <x v="7"/>
    <x v="3"/>
    <x v="3"/>
    <x v="17"/>
    <x v="103"/>
    <n v="58"/>
    <n v="56"/>
    <x v="0"/>
    <x v="0"/>
    <n v="5"/>
    <n v="9.4339622641509441E-2"/>
    <n v="3"/>
    <n v="5.6603773584905662E-2"/>
    <x v="0"/>
    <m/>
    <m/>
  </r>
  <r>
    <x v="7"/>
    <x v="3"/>
    <x v="3"/>
    <x v="18"/>
    <x v="55"/>
    <n v="64"/>
    <n v="61"/>
    <x v="0"/>
    <x v="0"/>
    <n v="5"/>
    <n v="8.4745762711864403E-2"/>
    <n v="2"/>
    <n v="3.3898305084745763E-2"/>
    <x v="0"/>
    <m/>
    <m/>
  </r>
  <r>
    <x v="7"/>
    <x v="3"/>
    <x v="3"/>
    <x v="19"/>
    <x v="47"/>
    <n v="54"/>
    <n v="49"/>
    <x v="0"/>
    <x v="0"/>
    <n v="0"/>
    <n v="0"/>
    <n v="5"/>
    <n v="9.2592592592592587E-2"/>
    <x v="0"/>
    <m/>
    <m/>
  </r>
  <r>
    <x v="7"/>
    <x v="3"/>
    <x v="3"/>
    <x v="20"/>
    <x v="199"/>
    <n v="39"/>
    <n v="38"/>
    <x v="0"/>
    <x v="0"/>
    <n v="2"/>
    <n v="5.4054054054054057E-2"/>
    <n v="1"/>
    <n v="2.7027027027027029E-2"/>
    <x v="0"/>
    <m/>
    <m/>
  </r>
  <r>
    <x v="7"/>
    <x v="3"/>
    <x v="3"/>
    <x v="21"/>
    <x v="134"/>
    <n v="52"/>
    <n v="46"/>
    <x v="0"/>
    <x v="0"/>
    <n v="4"/>
    <n v="8.3333333333333329E-2"/>
    <n v="2"/>
    <n v="4.1666666666666664E-2"/>
    <x v="0"/>
    <m/>
    <m/>
  </r>
  <r>
    <x v="7"/>
    <x v="3"/>
    <x v="3"/>
    <x v="22"/>
    <x v="54"/>
    <n v="61"/>
    <n v="57"/>
    <x v="0"/>
    <x v="0"/>
    <n v="4"/>
    <n v="7.0175438596491224E-2"/>
    <n v="0"/>
    <n v="0"/>
    <x v="0"/>
    <m/>
    <m/>
  </r>
  <r>
    <x v="7"/>
    <x v="3"/>
    <x v="3"/>
    <x v="23"/>
    <x v="53"/>
    <n v="66"/>
    <n v="68"/>
    <x v="1"/>
    <x v="0"/>
    <n v="2"/>
    <n v="3.125E-2"/>
    <n v="4"/>
    <n v="6.25E-2"/>
    <x v="0"/>
    <m/>
    <m/>
  </r>
  <r>
    <x v="8"/>
    <x v="4"/>
    <x v="0"/>
    <x v="0"/>
    <x v="81"/>
    <n v="64"/>
    <n v="66"/>
    <x v="0"/>
    <x v="0"/>
    <n v="4"/>
    <n v="5.8823529411764705E-2"/>
    <n v="2"/>
    <n v="2.9411764705882353E-2"/>
    <x v="0"/>
    <m/>
    <m/>
  </r>
  <r>
    <x v="8"/>
    <x v="4"/>
    <x v="0"/>
    <x v="1"/>
    <x v="91"/>
    <n v="78"/>
    <n v="85"/>
    <x v="0"/>
    <x v="0"/>
    <n v="7"/>
    <n v="8.2352941176470587E-2"/>
    <n v="0"/>
    <n v="0"/>
    <x v="0"/>
    <m/>
    <m/>
  </r>
  <r>
    <x v="8"/>
    <x v="4"/>
    <x v="0"/>
    <x v="2"/>
    <x v="91"/>
    <n v="90"/>
    <n v="87"/>
    <x v="1"/>
    <x v="0"/>
    <n v="5"/>
    <n v="5.8823529411764705E-2"/>
    <n v="2"/>
    <n v="2.3529411764705882E-2"/>
    <x v="0"/>
    <m/>
    <m/>
  </r>
  <r>
    <x v="8"/>
    <x v="4"/>
    <x v="0"/>
    <x v="3"/>
    <x v="35"/>
    <n v="73"/>
    <n v="94"/>
    <x v="0"/>
    <x v="0"/>
    <n v="15"/>
    <n v="0.17045454545454544"/>
    <n v="6"/>
    <n v="6.8181818181818177E-2"/>
    <x v="0"/>
    <m/>
    <m/>
  </r>
  <r>
    <x v="8"/>
    <x v="4"/>
    <x v="0"/>
    <x v="4"/>
    <x v="53"/>
    <n v="57"/>
    <n v="66"/>
    <x v="1"/>
    <x v="0"/>
    <n v="7"/>
    <n v="0.109375"/>
    <n v="2"/>
    <n v="3.125E-2"/>
    <x v="0"/>
    <m/>
    <m/>
  </r>
  <r>
    <x v="8"/>
    <x v="4"/>
    <x v="0"/>
    <x v="5"/>
    <x v="121"/>
    <n v="52"/>
    <n v="52"/>
    <x v="0"/>
    <x v="0"/>
    <n v="0"/>
    <n v="0"/>
    <n v="0"/>
    <n v="0"/>
    <x v="0"/>
    <m/>
    <m/>
  </r>
  <r>
    <x v="8"/>
    <x v="4"/>
    <x v="0"/>
    <x v="6"/>
    <x v="103"/>
    <n v="55"/>
    <n v="53"/>
    <x v="1"/>
    <x v="0"/>
    <n v="2"/>
    <n v="3.7735849056603772E-2"/>
    <n v="0"/>
    <n v="0"/>
    <x v="0"/>
    <m/>
    <m/>
  </r>
  <r>
    <x v="8"/>
    <x v="4"/>
    <x v="0"/>
    <x v="7"/>
    <x v="134"/>
    <n v="45"/>
    <n v="44"/>
    <x v="0"/>
    <x v="0"/>
    <n v="3"/>
    <n v="6.25E-2"/>
    <n v="4"/>
    <n v="8.3333333333333329E-2"/>
    <x v="0"/>
    <m/>
    <m/>
  </r>
  <r>
    <x v="8"/>
    <x v="4"/>
    <x v="0"/>
    <x v="8"/>
    <x v="195"/>
    <n v="24"/>
    <n v="26"/>
    <x v="0"/>
    <x v="1"/>
    <n v="2"/>
    <n v="7.6923076923076927E-2"/>
    <n v="0"/>
    <n v="0"/>
    <x v="0"/>
    <m/>
    <m/>
  </r>
  <r>
    <x v="8"/>
    <x v="4"/>
    <x v="0"/>
    <x v="9"/>
    <x v="47"/>
    <n v="52"/>
    <n v="52"/>
    <x v="0"/>
    <x v="0"/>
    <n v="2"/>
    <n v="3.7037037037037035E-2"/>
    <n v="2"/>
    <n v="3.7037037037037035E-2"/>
    <x v="0"/>
    <m/>
    <m/>
  </r>
  <r>
    <x v="8"/>
    <x v="4"/>
    <x v="0"/>
    <x v="10"/>
    <x v="54"/>
    <n v="55"/>
    <n v="55"/>
    <x v="0"/>
    <x v="0"/>
    <n v="2"/>
    <n v="3.5087719298245612E-2"/>
    <n v="2"/>
    <n v="3.5087719298245612E-2"/>
    <x v="0"/>
    <m/>
    <m/>
  </r>
  <r>
    <x v="8"/>
    <x v="4"/>
    <x v="0"/>
    <x v="11"/>
    <x v="96"/>
    <n v="36"/>
    <n v="29"/>
    <x v="0"/>
    <x v="1"/>
    <n v="5"/>
    <n v="0.16129032258064516"/>
    <n v="2"/>
    <n v="6.4516129032258063E-2"/>
    <x v="0"/>
    <m/>
    <m/>
  </r>
  <r>
    <x v="8"/>
    <x v="4"/>
    <x v="0"/>
    <x v="12"/>
    <x v="81"/>
    <n v="64"/>
    <n v="71"/>
    <x v="0"/>
    <x v="0"/>
    <n v="4"/>
    <n v="5.8823529411764705E-2"/>
    <n v="3"/>
    <n v="4.4117647058823532E-2"/>
    <x v="0"/>
    <m/>
    <m/>
  </r>
  <r>
    <x v="8"/>
    <x v="4"/>
    <x v="0"/>
    <x v="13"/>
    <x v="52"/>
    <n v="69"/>
    <n v="65"/>
    <x v="0"/>
    <x v="0"/>
    <n v="4"/>
    <n v="6.1538461538461542E-2"/>
    <n v="0"/>
    <n v="0"/>
    <x v="0"/>
    <m/>
    <m/>
  </r>
  <r>
    <x v="8"/>
    <x v="4"/>
    <x v="0"/>
    <x v="14"/>
    <x v="39"/>
    <n v="79"/>
    <n v="70"/>
    <x v="1"/>
    <x v="0"/>
    <n v="6"/>
    <n v="8.2191780821917804E-2"/>
    <n v="3"/>
    <n v="4.1095890410958902E-2"/>
    <x v="0"/>
    <m/>
    <m/>
  </r>
  <r>
    <x v="8"/>
    <x v="4"/>
    <x v="0"/>
    <x v="15"/>
    <x v="40"/>
    <n v="75"/>
    <n v="80"/>
    <x v="0"/>
    <x v="0"/>
    <n v="4"/>
    <n v="5.0632911392405063E-2"/>
    <n v="1"/>
    <n v="1.2658227848101266E-2"/>
    <x v="0"/>
    <m/>
    <m/>
  </r>
  <r>
    <x v="8"/>
    <x v="4"/>
    <x v="0"/>
    <x v="16"/>
    <x v="81"/>
    <n v="84"/>
    <n v="70"/>
    <x v="1"/>
    <x v="0"/>
    <n v="16"/>
    <n v="0.23529411764705882"/>
    <n v="2"/>
    <n v="2.9411764705882353E-2"/>
    <x v="0"/>
    <m/>
    <m/>
  </r>
  <r>
    <x v="8"/>
    <x v="4"/>
    <x v="0"/>
    <x v="17"/>
    <x v="52"/>
    <n v="67"/>
    <n v="64"/>
    <x v="1"/>
    <x v="0"/>
    <n v="2"/>
    <n v="3.0769230769230771E-2"/>
    <n v="1"/>
    <n v="1.5384615384615385E-2"/>
    <x v="0"/>
    <m/>
    <m/>
  </r>
  <r>
    <x v="8"/>
    <x v="4"/>
    <x v="0"/>
    <x v="18"/>
    <x v="97"/>
    <n v="54"/>
    <n v="52"/>
    <x v="0"/>
    <x v="0"/>
    <n v="2"/>
    <n v="3.5714285714285712E-2"/>
    <n v="4"/>
    <n v="7.1428571428571425E-2"/>
    <x v="0"/>
    <m/>
    <m/>
  </r>
  <r>
    <x v="8"/>
    <x v="4"/>
    <x v="0"/>
    <x v="19"/>
    <x v="54"/>
    <n v="56"/>
    <n v="56"/>
    <x v="0"/>
    <x v="0"/>
    <n v="1"/>
    <n v="1.7543859649122806E-2"/>
    <n v="1"/>
    <n v="1.7543859649122806E-2"/>
    <x v="0"/>
    <m/>
    <m/>
  </r>
  <r>
    <x v="8"/>
    <x v="4"/>
    <x v="0"/>
    <x v="20"/>
    <x v="136"/>
    <n v="51"/>
    <n v="50"/>
    <x v="0"/>
    <x v="0"/>
    <n v="2"/>
    <n v="4.0816326530612242E-2"/>
    <n v="1"/>
    <n v="2.0408163265306121E-2"/>
    <x v="0"/>
    <m/>
    <m/>
  </r>
  <r>
    <x v="8"/>
    <x v="4"/>
    <x v="0"/>
    <x v="21"/>
    <x v="97"/>
    <n v="56"/>
    <n v="54"/>
    <x v="1"/>
    <x v="0"/>
    <n v="0"/>
    <n v="0"/>
    <n v="2"/>
    <n v="3.5714285714285712E-2"/>
    <x v="0"/>
    <m/>
    <m/>
  </r>
  <r>
    <x v="8"/>
    <x v="4"/>
    <x v="0"/>
    <x v="22"/>
    <x v="89"/>
    <n v="59"/>
    <n v="64"/>
    <x v="0"/>
    <x v="0"/>
    <n v="4"/>
    <n v="6.3492063492063489E-2"/>
    <n v="1"/>
    <n v="1.5873015873015872E-2"/>
    <x v="0"/>
    <m/>
    <m/>
  </r>
  <r>
    <x v="8"/>
    <x v="4"/>
    <x v="0"/>
    <x v="23"/>
    <x v="10"/>
    <n v="57"/>
    <n v="73"/>
    <x v="0"/>
    <x v="0"/>
    <n v="14"/>
    <n v="0.19718309859154928"/>
    <n v="2"/>
    <n v="2.8169014084507043E-2"/>
    <x v="0"/>
    <m/>
    <m/>
  </r>
  <r>
    <x v="8"/>
    <x v="4"/>
    <x v="1"/>
    <x v="0"/>
    <x v="36"/>
    <n v="87"/>
    <n v="94"/>
    <x v="1"/>
    <x v="1"/>
    <n v="5"/>
    <n v="5.434782608695652E-2"/>
    <n v="2"/>
    <n v="2.1739130434782608E-2"/>
    <x v="0"/>
    <m/>
    <m/>
  </r>
  <r>
    <x v="8"/>
    <x v="4"/>
    <x v="1"/>
    <x v="1"/>
    <x v="131"/>
    <n v="267"/>
    <n v="206"/>
    <x v="0"/>
    <x v="0"/>
    <n v="49"/>
    <n v="0.22477064220183487"/>
    <n v="12"/>
    <n v="5.5045871559633031E-2"/>
    <x v="0"/>
    <m/>
    <m/>
  </r>
  <r>
    <x v="8"/>
    <x v="4"/>
    <x v="1"/>
    <x v="2"/>
    <x v="200"/>
    <n v="241"/>
    <n v="208"/>
    <x v="0"/>
    <x v="0"/>
    <n v="28"/>
    <n v="0.13145539906103287"/>
    <n v="5"/>
    <n v="2.3474178403755867E-2"/>
    <x v="0"/>
    <m/>
    <m/>
  </r>
  <r>
    <x v="8"/>
    <x v="4"/>
    <x v="1"/>
    <x v="3"/>
    <x v="201"/>
    <n v="268"/>
    <n v="227"/>
    <x v="0"/>
    <x v="0"/>
    <n v="44"/>
    <n v="0.19642857142857142"/>
    <n v="3"/>
    <n v="1.3392857142857142E-2"/>
    <x v="0"/>
    <m/>
    <m/>
  </r>
  <r>
    <x v="8"/>
    <x v="4"/>
    <x v="1"/>
    <x v="4"/>
    <x v="181"/>
    <n v="103"/>
    <n v="99"/>
    <x v="1"/>
    <x v="1"/>
    <n v="2"/>
    <n v="1.9801980198019802E-2"/>
    <n v="2"/>
    <n v="1.9801980198019802E-2"/>
    <x v="0"/>
    <m/>
    <m/>
  </r>
  <r>
    <x v="8"/>
    <x v="4"/>
    <x v="1"/>
    <x v="5"/>
    <x v="137"/>
    <n v="205"/>
    <n v="166"/>
    <x v="0"/>
    <x v="0"/>
    <n v="30"/>
    <n v="0.17142857142857143"/>
    <n v="9"/>
    <n v="5.1428571428571428E-2"/>
    <x v="0"/>
    <m/>
    <m/>
  </r>
  <r>
    <x v="8"/>
    <x v="4"/>
    <x v="1"/>
    <x v="6"/>
    <x v="84"/>
    <n v="126"/>
    <n v="120"/>
    <x v="0"/>
    <x v="0"/>
    <n v="6"/>
    <n v="0.05"/>
    <n v="0"/>
    <n v="0"/>
    <x v="0"/>
    <m/>
    <m/>
  </r>
  <r>
    <x v="8"/>
    <x v="4"/>
    <x v="1"/>
    <x v="7"/>
    <x v="4"/>
    <n v="205"/>
    <n v="173"/>
    <x v="0"/>
    <x v="0"/>
    <n v="39"/>
    <n v="0.23493975903614459"/>
    <n v="7"/>
    <n v="4.2168674698795178E-2"/>
    <x v="0"/>
    <m/>
    <m/>
  </r>
  <r>
    <x v="8"/>
    <x v="4"/>
    <x v="1"/>
    <x v="8"/>
    <x v="132"/>
    <n v="207"/>
    <n v="169"/>
    <x v="0"/>
    <x v="0"/>
    <n v="44"/>
    <n v="0.26993865030674846"/>
    <n v="6"/>
    <n v="3.6809815950920248E-2"/>
    <x v="0"/>
    <m/>
    <m/>
  </r>
  <r>
    <x v="8"/>
    <x v="4"/>
    <x v="1"/>
    <x v="9"/>
    <x v="155"/>
    <n v="186"/>
    <n v="129"/>
    <x v="0"/>
    <x v="0"/>
    <n v="43"/>
    <n v="0.30069930069930068"/>
    <n v="14"/>
    <n v="9.7902097902097904E-2"/>
    <x v="0"/>
    <m/>
    <m/>
  </r>
  <r>
    <x v="8"/>
    <x v="4"/>
    <x v="1"/>
    <x v="10"/>
    <x v="152"/>
    <n v="181"/>
    <n v="150"/>
    <x v="0"/>
    <x v="0"/>
    <n v="16"/>
    <n v="9.696969696969697E-2"/>
    <n v="15"/>
    <n v="9.0909090909090912E-2"/>
    <x v="0"/>
    <m/>
    <m/>
  </r>
  <r>
    <x v="8"/>
    <x v="4"/>
    <x v="1"/>
    <x v="11"/>
    <x v="163"/>
    <n v="229"/>
    <n v="186"/>
    <x v="1"/>
    <x v="0"/>
    <n v="46"/>
    <n v="0.25136612021857924"/>
    <n v="3"/>
    <n v="1.6393442622950821E-2"/>
    <x v="0"/>
    <m/>
    <m/>
  </r>
  <r>
    <x v="8"/>
    <x v="4"/>
    <x v="1"/>
    <x v="12"/>
    <x v="67"/>
    <n v="233"/>
    <n v="178"/>
    <x v="0"/>
    <x v="0"/>
    <n v="54"/>
    <n v="0.3016759776536313"/>
    <n v="1"/>
    <n v="5.5865921787709499E-3"/>
    <x v="0"/>
    <m/>
    <m/>
  </r>
  <r>
    <x v="8"/>
    <x v="4"/>
    <x v="1"/>
    <x v="13"/>
    <x v="109"/>
    <n v="269"/>
    <n v="203"/>
    <x v="0"/>
    <x v="0"/>
    <n v="57"/>
    <n v="0.26886792452830188"/>
    <n v="9"/>
    <n v="4.2452830188679243E-2"/>
    <x v="0"/>
    <m/>
    <m/>
  </r>
  <r>
    <x v="8"/>
    <x v="4"/>
    <x v="1"/>
    <x v="14"/>
    <x v="202"/>
    <n v="261"/>
    <n v="244"/>
    <x v="1"/>
    <x v="0"/>
    <n v="26"/>
    <n v="0.11063829787234042"/>
    <n v="9"/>
    <n v="3.8297872340425532E-2"/>
    <x v="0"/>
    <m/>
    <m/>
  </r>
  <r>
    <x v="8"/>
    <x v="4"/>
    <x v="1"/>
    <x v="15"/>
    <x v="163"/>
    <n v="234"/>
    <n v="193"/>
    <x v="0"/>
    <x v="0"/>
    <n v="51"/>
    <n v="0.27868852459016391"/>
    <n v="10"/>
    <n v="5.4644808743169397E-2"/>
    <x v="0"/>
    <m/>
    <m/>
  </r>
  <r>
    <x v="8"/>
    <x v="4"/>
    <x v="1"/>
    <x v="16"/>
    <x v="203"/>
    <n v="279"/>
    <n v="214"/>
    <x v="1"/>
    <x v="0"/>
    <n v="65"/>
    <n v="0.30373831775700932"/>
    <n v="0"/>
    <n v="0"/>
    <x v="0"/>
    <m/>
    <m/>
  </r>
  <r>
    <x v="8"/>
    <x v="4"/>
    <x v="1"/>
    <x v="17"/>
    <x v="17"/>
    <n v="216"/>
    <n v="156"/>
    <x v="0"/>
    <x v="0"/>
    <n v="44"/>
    <n v="0.2558139534883721"/>
    <n v="16"/>
    <n v="9.3023255813953487E-2"/>
    <x v="0"/>
    <m/>
    <m/>
  </r>
  <r>
    <x v="8"/>
    <x v="4"/>
    <x v="1"/>
    <x v="18"/>
    <x v="57"/>
    <n v="204"/>
    <n v="155"/>
    <x v="0"/>
    <x v="0"/>
    <n v="45"/>
    <n v="0.28301886792452829"/>
    <n v="4"/>
    <n v="2.5157232704402517E-2"/>
    <x v="0"/>
    <m/>
    <m/>
  </r>
  <r>
    <x v="8"/>
    <x v="4"/>
    <x v="1"/>
    <x v="19"/>
    <x v="65"/>
    <n v="196"/>
    <n v="159"/>
    <x v="0"/>
    <x v="0"/>
    <n v="36"/>
    <n v="0.22500000000000001"/>
    <n v="1"/>
    <n v="6.2500000000000003E-3"/>
    <x v="0"/>
    <m/>
    <m/>
  </r>
  <r>
    <x v="8"/>
    <x v="4"/>
    <x v="1"/>
    <x v="20"/>
    <x v="0"/>
    <n v="159"/>
    <n v="144"/>
    <x v="0"/>
    <x v="0"/>
    <n v="12"/>
    <n v="8.1632653061224483E-2"/>
    <n v="3"/>
    <n v="2.0408163265306121E-2"/>
    <x v="0"/>
    <m/>
    <m/>
  </r>
  <r>
    <x v="8"/>
    <x v="4"/>
    <x v="1"/>
    <x v="21"/>
    <x v="18"/>
    <n v="144"/>
    <n v="117"/>
    <x v="0"/>
    <x v="0"/>
    <n v="13"/>
    <n v="9.9236641221374045E-2"/>
    <n v="14"/>
    <n v="0.10687022900763359"/>
    <x v="0"/>
    <m/>
    <m/>
  </r>
  <r>
    <x v="8"/>
    <x v="4"/>
    <x v="1"/>
    <x v="22"/>
    <x v="11"/>
    <n v="229"/>
    <n v="164"/>
    <x v="1"/>
    <x v="0"/>
    <n v="61"/>
    <n v="0.36309523809523808"/>
    <n v="4"/>
    <n v="2.3809523809523808E-2"/>
    <x v="0"/>
    <m/>
    <m/>
  </r>
  <r>
    <x v="8"/>
    <x v="4"/>
    <x v="1"/>
    <x v="23"/>
    <x v="74"/>
    <n v="129"/>
    <n v="93"/>
    <x v="0"/>
    <x v="1"/>
    <n v="30"/>
    <n v="0.30303030303030304"/>
    <n v="6"/>
    <n v="6.0606060606060608E-2"/>
    <x v="0"/>
    <m/>
    <m/>
  </r>
  <r>
    <x v="8"/>
    <x v="4"/>
    <x v="2"/>
    <x v="0"/>
    <x v="171"/>
    <n v="180"/>
    <n v="167"/>
    <x v="0"/>
    <x v="0"/>
    <n v="7"/>
    <n v="4.046242774566474E-2"/>
    <n v="6"/>
    <n v="3.4682080924855488E-2"/>
    <x v="0"/>
    <m/>
    <m/>
  </r>
  <r>
    <x v="8"/>
    <x v="4"/>
    <x v="2"/>
    <x v="1"/>
    <x v="164"/>
    <n v="221"/>
    <n v="191"/>
    <x v="0"/>
    <x v="0"/>
    <n v="27"/>
    <n v="0.13917525773195877"/>
    <n v="3"/>
    <n v="1.5463917525773196E-2"/>
    <x v="0"/>
    <m/>
    <m/>
  </r>
  <r>
    <x v="8"/>
    <x v="4"/>
    <x v="2"/>
    <x v="2"/>
    <x v="173"/>
    <n v="229"/>
    <n v="201"/>
    <x v="1"/>
    <x v="0"/>
    <n v="38"/>
    <n v="0.19895287958115182"/>
    <n v="10"/>
    <n v="5.2356020942408377E-2"/>
    <x v="0"/>
    <m/>
    <m/>
  </r>
  <r>
    <x v="8"/>
    <x v="4"/>
    <x v="2"/>
    <x v="3"/>
    <x v="56"/>
    <n v="258"/>
    <n v="174"/>
    <x v="1"/>
    <x v="0"/>
    <n v="72"/>
    <n v="0.38709677419354838"/>
    <n v="12"/>
    <n v="6.4516129032258063E-2"/>
    <x v="0"/>
    <m/>
    <m/>
  </r>
  <r>
    <x v="8"/>
    <x v="4"/>
    <x v="2"/>
    <x v="4"/>
    <x v="174"/>
    <n v="226"/>
    <n v="186"/>
    <x v="0"/>
    <x v="0"/>
    <n v="30"/>
    <n v="0.15306122448979592"/>
    <n v="10"/>
    <n v="5.1020408163265307E-2"/>
    <x v="0"/>
    <m/>
    <m/>
  </r>
  <r>
    <x v="8"/>
    <x v="4"/>
    <x v="2"/>
    <x v="5"/>
    <x v="56"/>
    <n v="242"/>
    <n v="181"/>
    <x v="0"/>
    <x v="0"/>
    <n v="56"/>
    <n v="0.30107526881720431"/>
    <n v="5"/>
    <n v="2.6881720430107527E-2"/>
    <x v="0"/>
    <m/>
    <m/>
  </r>
  <r>
    <x v="8"/>
    <x v="4"/>
    <x v="2"/>
    <x v="6"/>
    <x v="148"/>
    <n v="199"/>
    <n v="156"/>
    <x v="0"/>
    <x v="0"/>
    <n v="43"/>
    <n v="0.27564102564102566"/>
    <n v="0"/>
    <n v="0"/>
    <x v="0"/>
    <m/>
    <m/>
  </r>
  <r>
    <x v="8"/>
    <x v="4"/>
    <x v="2"/>
    <x v="7"/>
    <x v="148"/>
    <n v="176"/>
    <n v="174"/>
    <x v="1"/>
    <x v="0"/>
    <n v="20"/>
    <n v="0.12820512820512819"/>
    <n v="18"/>
    <n v="0.11538461538461539"/>
    <x v="0"/>
    <m/>
    <m/>
  </r>
  <r>
    <x v="8"/>
    <x v="4"/>
    <x v="2"/>
    <x v="8"/>
    <x v="7"/>
    <n v="190"/>
    <n v="156"/>
    <x v="0"/>
    <x v="0"/>
    <n v="45"/>
    <n v="0.31034482758620691"/>
    <n v="11"/>
    <n v="7.586206896551724E-2"/>
    <x v="0"/>
    <m/>
    <m/>
  </r>
  <r>
    <x v="8"/>
    <x v="4"/>
    <x v="2"/>
    <x v="9"/>
    <x v="66"/>
    <n v="119"/>
    <n v="99"/>
    <x v="0"/>
    <x v="0"/>
    <n v="21"/>
    <n v="0.21428571428571427"/>
    <n v="1"/>
    <n v="1.020408163265306E-2"/>
    <x v="0"/>
    <m/>
    <m/>
  </r>
  <r>
    <x v="8"/>
    <x v="4"/>
    <x v="2"/>
    <x v="10"/>
    <x v="113"/>
    <n v="179"/>
    <n v="158"/>
    <x v="1"/>
    <x v="0"/>
    <n v="29"/>
    <n v="0.19333333333333333"/>
    <n v="8"/>
    <n v="5.3333333333333337E-2"/>
    <x v="0"/>
    <m/>
    <m/>
  </r>
  <r>
    <x v="8"/>
    <x v="4"/>
    <x v="2"/>
    <x v="11"/>
    <x v="152"/>
    <n v="186"/>
    <n v="152"/>
    <x v="0"/>
    <x v="0"/>
    <n v="21"/>
    <n v="0.12727272727272726"/>
    <n v="13"/>
    <n v="7.8787878787878782E-2"/>
    <x v="0"/>
    <m/>
    <m/>
  </r>
  <r>
    <x v="8"/>
    <x v="4"/>
    <x v="2"/>
    <x v="12"/>
    <x v="182"/>
    <n v="221"/>
    <n v="194"/>
    <x v="1"/>
    <x v="0"/>
    <n v="34"/>
    <n v="0.18181818181818182"/>
    <n v="7"/>
    <n v="3.7433155080213901E-2"/>
    <x v="0"/>
    <m/>
    <m/>
  </r>
  <r>
    <x v="8"/>
    <x v="4"/>
    <x v="2"/>
    <x v="13"/>
    <x v="128"/>
    <n v="270"/>
    <n v="216"/>
    <x v="1"/>
    <x v="0"/>
    <n v="37"/>
    <n v="0.15879828326180256"/>
    <n v="17"/>
    <n v="7.2961373390557943E-2"/>
    <x v="0"/>
    <m/>
    <m/>
  </r>
  <r>
    <x v="8"/>
    <x v="4"/>
    <x v="2"/>
    <x v="14"/>
    <x v="114"/>
    <n v="172"/>
    <n v="138"/>
    <x v="0"/>
    <x v="0"/>
    <n v="31"/>
    <n v="0.21985815602836881"/>
    <n v="3"/>
    <n v="2.1276595744680851E-2"/>
    <x v="0"/>
    <m/>
    <m/>
  </r>
  <r>
    <x v="8"/>
    <x v="4"/>
    <x v="2"/>
    <x v="15"/>
    <x v="13"/>
    <n v="197"/>
    <n v="167"/>
    <x v="0"/>
    <x v="0"/>
    <n v="35"/>
    <n v="0.21604938271604937"/>
    <n v="5"/>
    <n v="3.0864197530864196E-2"/>
    <x v="0"/>
    <m/>
    <m/>
  </r>
  <r>
    <x v="8"/>
    <x v="4"/>
    <x v="2"/>
    <x v="16"/>
    <x v="162"/>
    <n v="184"/>
    <n v="179"/>
    <x v="0"/>
    <x v="0"/>
    <n v="6"/>
    <n v="3.3707865168539325E-2"/>
    <n v="1"/>
    <n v="5.6179775280898875E-3"/>
    <x v="0"/>
    <m/>
    <m/>
  </r>
  <r>
    <x v="8"/>
    <x v="4"/>
    <x v="2"/>
    <x v="17"/>
    <x v="83"/>
    <n v="140"/>
    <n v="132"/>
    <x v="0"/>
    <x v="0"/>
    <n v="4"/>
    <n v="2.9411764705882353E-2"/>
    <n v="4"/>
    <n v="2.9411764705882353E-2"/>
    <x v="0"/>
    <m/>
    <m/>
  </r>
  <r>
    <x v="8"/>
    <x v="4"/>
    <x v="2"/>
    <x v="18"/>
    <x v="7"/>
    <n v="156"/>
    <n v="156"/>
    <x v="1"/>
    <x v="0"/>
    <n v="11"/>
    <n v="7.586206896551724E-2"/>
    <n v="11"/>
    <n v="7.586206896551724E-2"/>
    <x v="0"/>
    <m/>
    <m/>
  </r>
  <r>
    <x v="8"/>
    <x v="4"/>
    <x v="2"/>
    <x v="19"/>
    <x v="16"/>
    <n v="157"/>
    <n v="137"/>
    <x v="0"/>
    <x v="0"/>
    <n v="18"/>
    <n v="0.12949640287769784"/>
    <n v="2"/>
    <n v="1.4388489208633094E-2"/>
    <x v="0"/>
    <m/>
    <m/>
  </r>
  <r>
    <x v="8"/>
    <x v="4"/>
    <x v="2"/>
    <x v="20"/>
    <x v="33"/>
    <n v="138"/>
    <n v="138"/>
    <x v="1"/>
    <x v="0"/>
    <n v="1"/>
    <n v="7.2992700729927005E-3"/>
    <n v="1"/>
    <n v="7.2992700729927005E-3"/>
    <x v="0"/>
    <m/>
    <m/>
  </r>
  <r>
    <x v="8"/>
    <x v="4"/>
    <x v="2"/>
    <x v="21"/>
    <x v="111"/>
    <n v="186"/>
    <n v="129"/>
    <x v="0"/>
    <x v="0"/>
    <n v="57"/>
    <n v="0.44186046511627908"/>
    <n v="0"/>
    <n v="0"/>
    <x v="0"/>
    <m/>
    <m/>
  </r>
  <r>
    <x v="8"/>
    <x v="4"/>
    <x v="2"/>
    <x v="22"/>
    <x v="141"/>
    <n v="138"/>
    <n v="144"/>
    <x v="0"/>
    <x v="0"/>
    <n v="4"/>
    <n v="2.8169014084507043E-2"/>
    <n v="2"/>
    <n v="1.4084507042253521E-2"/>
    <x v="0"/>
    <m/>
    <m/>
  </r>
  <r>
    <x v="8"/>
    <x v="4"/>
    <x v="2"/>
    <x v="23"/>
    <x v="175"/>
    <n v="164"/>
    <n v="160"/>
    <x v="0"/>
    <x v="0"/>
    <n v="10"/>
    <n v="6.4935064935064929E-2"/>
    <n v="6"/>
    <n v="3.896103896103896E-2"/>
    <x v="0"/>
    <m/>
    <m/>
  </r>
  <r>
    <x v="8"/>
    <x v="4"/>
    <x v="3"/>
    <x v="0"/>
    <x v="55"/>
    <n v="70"/>
    <n v="53"/>
    <x v="0"/>
    <x v="1"/>
    <n v="11"/>
    <n v="0.1864406779661017"/>
    <n v="6"/>
    <n v="0.10169491525423729"/>
    <x v="0"/>
    <m/>
    <m/>
  </r>
  <r>
    <x v="8"/>
    <x v="4"/>
    <x v="3"/>
    <x v="1"/>
    <x v="155"/>
    <n v="170"/>
    <n v="152"/>
    <x v="0"/>
    <x v="0"/>
    <n v="27"/>
    <n v="0.1888111888111888"/>
    <n v="9"/>
    <n v="6.2937062937062943E-2"/>
    <x v="0"/>
    <m/>
    <m/>
  </r>
  <r>
    <x v="8"/>
    <x v="4"/>
    <x v="3"/>
    <x v="2"/>
    <x v="61"/>
    <n v="172"/>
    <n v="149"/>
    <x v="0"/>
    <x v="0"/>
    <n v="21"/>
    <n v="0.13907284768211919"/>
    <n v="2"/>
    <n v="1.3245033112582781E-2"/>
    <x v="0"/>
    <m/>
    <m/>
  </r>
  <r>
    <x v="8"/>
    <x v="4"/>
    <x v="3"/>
    <x v="3"/>
    <x v="22"/>
    <n v="159"/>
    <n v="160"/>
    <x v="0"/>
    <x v="0"/>
    <n v="15"/>
    <n v="0.10416666666666667"/>
    <n v="16"/>
    <n v="0.1111111111111111"/>
    <x v="0"/>
    <m/>
    <m/>
  </r>
  <r>
    <x v="8"/>
    <x v="4"/>
    <x v="3"/>
    <x v="4"/>
    <x v="0"/>
    <n v="155"/>
    <n v="143"/>
    <x v="0"/>
    <x v="0"/>
    <n v="8"/>
    <n v="5.4421768707482991E-2"/>
    <n v="4"/>
    <n v="2.7210884353741496E-2"/>
    <x v="0"/>
    <m/>
    <m/>
  </r>
  <r>
    <x v="8"/>
    <x v="4"/>
    <x v="3"/>
    <x v="5"/>
    <x v="86"/>
    <n v="118"/>
    <n v="134"/>
    <x v="0"/>
    <x v="0"/>
    <n v="12"/>
    <n v="9.2307692307692313E-2"/>
    <n v="4"/>
    <n v="3.0769230769230771E-2"/>
    <x v="0"/>
    <m/>
    <m/>
  </r>
  <r>
    <x v="8"/>
    <x v="4"/>
    <x v="3"/>
    <x v="6"/>
    <x v="22"/>
    <n v="175"/>
    <n v="152"/>
    <x v="0"/>
    <x v="0"/>
    <n v="31"/>
    <n v="0.21527777777777779"/>
    <n v="8"/>
    <n v="5.5555555555555552E-2"/>
    <x v="0"/>
    <m/>
    <m/>
  </r>
  <r>
    <x v="8"/>
    <x v="4"/>
    <x v="3"/>
    <x v="7"/>
    <x v="23"/>
    <n v="122"/>
    <n v="113"/>
    <x v="0"/>
    <x v="0"/>
    <n v="1"/>
    <n v="8.2644628099173556E-3"/>
    <n v="8"/>
    <n v="6.6115702479338845E-2"/>
    <x v="0"/>
    <m/>
    <m/>
  </r>
  <r>
    <x v="8"/>
    <x v="4"/>
    <x v="3"/>
    <x v="8"/>
    <x v="25"/>
    <n v="132"/>
    <n v="110"/>
    <x v="0"/>
    <x v="0"/>
    <n v="21"/>
    <n v="0.1891891891891892"/>
    <n v="1"/>
    <n v="9.0090090090090089E-3"/>
    <x v="0"/>
    <m/>
    <m/>
  </r>
  <r>
    <x v="8"/>
    <x v="4"/>
    <x v="3"/>
    <x v="9"/>
    <x v="87"/>
    <n v="113"/>
    <n v="111"/>
    <x v="0"/>
    <x v="0"/>
    <n v="3"/>
    <n v="2.5862068965517241E-2"/>
    <n v="5"/>
    <n v="4.3103448275862072E-2"/>
    <x v="0"/>
    <m/>
    <m/>
  </r>
  <r>
    <x v="8"/>
    <x v="4"/>
    <x v="3"/>
    <x v="10"/>
    <x v="29"/>
    <n v="117"/>
    <n v="94"/>
    <x v="1"/>
    <x v="0"/>
    <n v="15"/>
    <n v="0.14705882352941177"/>
    <n v="8"/>
    <n v="7.8431372549019607E-2"/>
    <x v="0"/>
    <m/>
    <m/>
  </r>
  <r>
    <x v="8"/>
    <x v="4"/>
    <x v="3"/>
    <x v="11"/>
    <x v="22"/>
    <n v="145"/>
    <n v="146"/>
    <x v="0"/>
    <x v="0"/>
    <n v="1"/>
    <n v="6.9444444444444441E-3"/>
    <n v="2"/>
    <n v="1.3888888888888888E-2"/>
    <x v="0"/>
    <m/>
    <m/>
  </r>
  <r>
    <x v="8"/>
    <x v="4"/>
    <x v="3"/>
    <x v="12"/>
    <x v="132"/>
    <n v="169"/>
    <n v="169"/>
    <x v="1"/>
    <x v="0"/>
    <n v="6"/>
    <n v="3.6809815950920248E-2"/>
    <n v="6"/>
    <n v="3.6809815950920248E-2"/>
    <x v="0"/>
    <m/>
    <m/>
  </r>
  <r>
    <x v="8"/>
    <x v="4"/>
    <x v="3"/>
    <x v="13"/>
    <x v="7"/>
    <n v="168"/>
    <n v="131"/>
    <x v="0"/>
    <x v="0"/>
    <n v="23"/>
    <n v="0.15862068965517243"/>
    <n v="14"/>
    <n v="9.6551724137931033E-2"/>
    <x v="0"/>
    <m/>
    <m/>
  </r>
  <r>
    <x v="8"/>
    <x v="4"/>
    <x v="3"/>
    <x v="14"/>
    <x v="132"/>
    <n v="190"/>
    <n v="155"/>
    <x v="0"/>
    <x v="0"/>
    <n v="27"/>
    <n v="0.16564417177914109"/>
    <n v="8"/>
    <n v="4.9079754601226995E-2"/>
    <x v="0"/>
    <m/>
    <m/>
  </r>
  <r>
    <x v="8"/>
    <x v="4"/>
    <x v="3"/>
    <x v="15"/>
    <x v="118"/>
    <n v="217"/>
    <n v="171"/>
    <x v="0"/>
    <x v="0"/>
    <n v="47"/>
    <n v="0.27647058823529413"/>
    <n v="1"/>
    <n v="5.8823529411764705E-3"/>
    <x v="0"/>
    <m/>
    <m/>
  </r>
  <r>
    <x v="8"/>
    <x v="4"/>
    <x v="3"/>
    <x v="16"/>
    <x v="141"/>
    <n v="182"/>
    <n v="149"/>
    <x v="0"/>
    <x v="0"/>
    <n v="40"/>
    <n v="0.28169014084507044"/>
    <n v="7"/>
    <n v="4.9295774647887321E-2"/>
    <x v="0"/>
    <m/>
    <m/>
  </r>
  <r>
    <x v="8"/>
    <x v="4"/>
    <x v="3"/>
    <x v="17"/>
    <x v="22"/>
    <n v="153"/>
    <n v="148"/>
    <x v="1"/>
    <x v="0"/>
    <n v="9"/>
    <n v="6.25E-2"/>
    <n v="4"/>
    <n v="2.7777777777777776E-2"/>
    <x v="0"/>
    <m/>
    <m/>
  </r>
  <r>
    <x v="8"/>
    <x v="4"/>
    <x v="3"/>
    <x v="18"/>
    <x v="74"/>
    <n v="107"/>
    <n v="101"/>
    <x v="0"/>
    <x v="0"/>
    <n v="8"/>
    <n v="8.0808080808080815E-2"/>
    <n v="2"/>
    <n v="2.0202020202020204E-2"/>
    <x v="0"/>
    <m/>
    <m/>
  </r>
  <r>
    <x v="8"/>
    <x v="4"/>
    <x v="3"/>
    <x v="19"/>
    <x v="181"/>
    <n v="110"/>
    <n v="107"/>
    <x v="1"/>
    <x v="0"/>
    <n v="9"/>
    <n v="8.9108910891089105E-2"/>
    <n v="6"/>
    <n v="5.9405940594059403E-2"/>
    <x v="0"/>
    <m/>
    <m/>
  </r>
  <r>
    <x v="8"/>
    <x v="4"/>
    <x v="3"/>
    <x v="20"/>
    <x v="9"/>
    <n v="135"/>
    <n v="110"/>
    <x v="0"/>
    <x v="0"/>
    <n v="23"/>
    <n v="0.20535714285714285"/>
    <n v="2"/>
    <n v="1.7857142857142856E-2"/>
    <x v="0"/>
    <m/>
    <m/>
  </r>
  <r>
    <x v="8"/>
    <x v="4"/>
    <x v="3"/>
    <x v="21"/>
    <x v="31"/>
    <n v="136"/>
    <n v="117"/>
    <x v="0"/>
    <x v="0"/>
    <n v="19"/>
    <n v="0.1623931623931624"/>
    <n v="0"/>
    <n v="0"/>
    <x v="0"/>
    <m/>
    <m/>
  </r>
  <r>
    <x v="8"/>
    <x v="4"/>
    <x v="3"/>
    <x v="22"/>
    <x v="92"/>
    <n v="128"/>
    <n v="116"/>
    <x v="0"/>
    <x v="0"/>
    <n v="18"/>
    <n v="0.16363636363636364"/>
    <n v="6"/>
    <n v="5.4545454545454543E-2"/>
    <x v="0"/>
    <m/>
    <m/>
  </r>
  <r>
    <x v="8"/>
    <x v="4"/>
    <x v="3"/>
    <x v="23"/>
    <x v="68"/>
    <n v="128"/>
    <n v="104"/>
    <x v="0"/>
    <x v="0"/>
    <n v="13"/>
    <n v="0.11304347826086956"/>
    <n v="11"/>
    <n v="9.5652173913043481E-2"/>
    <x v="0"/>
    <m/>
    <m/>
  </r>
  <r>
    <x v="9"/>
    <x v="4"/>
    <x v="0"/>
    <x v="0"/>
    <x v="91"/>
    <n v="92"/>
    <n v="85"/>
    <x v="0"/>
    <x v="0"/>
    <n v="7"/>
    <n v="8.2352941176470587E-2"/>
    <n v="0"/>
    <n v="0"/>
    <x v="0"/>
    <m/>
    <m/>
  </r>
  <r>
    <x v="9"/>
    <x v="4"/>
    <x v="0"/>
    <x v="1"/>
    <x v="26"/>
    <n v="76"/>
    <n v="82"/>
    <x v="1"/>
    <x v="0"/>
    <n v="6"/>
    <n v="7.3170731707317069E-2"/>
    <n v="0"/>
    <n v="0"/>
    <x v="0"/>
    <m/>
    <m/>
  </r>
  <r>
    <x v="9"/>
    <x v="4"/>
    <x v="0"/>
    <x v="2"/>
    <x v="38"/>
    <n v="94"/>
    <n v="94"/>
    <x v="0"/>
    <x v="0"/>
    <n v="3"/>
    <n v="3.0927835051546393E-2"/>
    <n v="3"/>
    <n v="3.0927835051546393E-2"/>
    <x v="0"/>
    <m/>
    <m/>
  </r>
  <r>
    <x v="9"/>
    <x v="4"/>
    <x v="0"/>
    <x v="3"/>
    <x v="29"/>
    <n v="127"/>
    <n v="94"/>
    <x v="0"/>
    <x v="0"/>
    <n v="25"/>
    <n v="0.24509803921568626"/>
    <n v="8"/>
    <n v="7.8431372549019607E-2"/>
    <x v="0"/>
    <m/>
    <m/>
  </r>
  <r>
    <x v="9"/>
    <x v="4"/>
    <x v="0"/>
    <x v="4"/>
    <x v="50"/>
    <n v="83"/>
    <n v="80"/>
    <x v="0"/>
    <x v="0"/>
    <n v="1"/>
    <n v="1.1904761904761904E-2"/>
    <n v="4"/>
    <n v="4.7619047619047616E-2"/>
    <x v="0"/>
    <m/>
    <m/>
  </r>
  <r>
    <x v="9"/>
    <x v="4"/>
    <x v="0"/>
    <x v="5"/>
    <x v="204"/>
    <n v="46"/>
    <n v="40"/>
    <x v="1"/>
    <x v="1"/>
    <n v="7"/>
    <n v="0.17948717948717949"/>
    <n v="1"/>
    <n v="2.564102564102564E-2"/>
    <x v="0"/>
    <m/>
    <m/>
  </r>
  <r>
    <x v="9"/>
    <x v="4"/>
    <x v="0"/>
    <x v="6"/>
    <x v="52"/>
    <n v="48"/>
    <n v="62"/>
    <x v="0"/>
    <x v="0"/>
    <n v="17"/>
    <n v="0.26153846153846155"/>
    <n v="3"/>
    <n v="4.6153846153846156E-2"/>
    <x v="0"/>
    <m/>
    <m/>
  </r>
  <r>
    <x v="9"/>
    <x v="4"/>
    <x v="0"/>
    <x v="7"/>
    <x v="199"/>
    <n v="37"/>
    <n v="35"/>
    <x v="0"/>
    <x v="1"/>
    <n v="0"/>
    <n v="0"/>
    <n v="2"/>
    <n v="5.4054054054054057E-2"/>
    <x v="0"/>
    <m/>
    <m/>
  </r>
  <r>
    <x v="9"/>
    <x v="4"/>
    <x v="0"/>
    <x v="8"/>
    <x v="47"/>
    <n v="57"/>
    <n v="56"/>
    <x v="1"/>
    <x v="0"/>
    <n v="3"/>
    <n v="5.5555555555555552E-2"/>
    <n v="2"/>
    <n v="3.7037037037037035E-2"/>
    <x v="0"/>
    <m/>
    <m/>
  </r>
  <r>
    <x v="9"/>
    <x v="4"/>
    <x v="0"/>
    <x v="9"/>
    <x v="53"/>
    <n v="65"/>
    <n v="65"/>
    <x v="0"/>
    <x v="0"/>
    <n v="1"/>
    <n v="1.5625E-2"/>
    <n v="1"/>
    <n v="1.5625E-2"/>
    <x v="0"/>
    <m/>
    <m/>
  </r>
  <r>
    <x v="9"/>
    <x v="4"/>
    <x v="0"/>
    <x v="10"/>
    <x v="93"/>
    <n v="80"/>
    <n v="73"/>
    <x v="0"/>
    <x v="0"/>
    <n v="3"/>
    <n v="3.896103896103896E-2"/>
    <n v="4"/>
    <n v="5.1948051948051951E-2"/>
    <x v="0"/>
    <m/>
    <m/>
  </r>
  <r>
    <x v="9"/>
    <x v="4"/>
    <x v="0"/>
    <x v="11"/>
    <x v="90"/>
    <n v="93"/>
    <n v="82"/>
    <x v="0"/>
    <x v="0"/>
    <n v="10"/>
    <n v="0.12048192771084337"/>
    <n v="1"/>
    <n v="1.2048192771084338E-2"/>
    <x v="0"/>
    <m/>
    <m/>
  </r>
  <r>
    <x v="9"/>
    <x v="4"/>
    <x v="0"/>
    <x v="12"/>
    <x v="188"/>
    <n v="85"/>
    <n v="76"/>
    <x v="0"/>
    <x v="0"/>
    <n v="4"/>
    <n v="4.9382716049382713E-2"/>
    <n v="5"/>
    <n v="6.1728395061728392E-2"/>
    <x v="0"/>
    <m/>
    <m/>
  </r>
  <r>
    <x v="9"/>
    <x v="4"/>
    <x v="0"/>
    <x v="13"/>
    <x v="157"/>
    <n v="81"/>
    <n v="94"/>
    <x v="1"/>
    <x v="0"/>
    <n v="9"/>
    <n v="0.1"/>
    <n v="4"/>
    <n v="4.4444444444444446E-2"/>
    <x v="0"/>
    <m/>
    <m/>
  </r>
  <r>
    <x v="9"/>
    <x v="4"/>
    <x v="0"/>
    <x v="14"/>
    <x v="90"/>
    <n v="84"/>
    <n v="81"/>
    <x v="0"/>
    <x v="0"/>
    <n v="1"/>
    <n v="1.2048192771084338E-2"/>
    <n v="2"/>
    <n v="2.4096385542168676E-2"/>
    <x v="0"/>
    <m/>
    <m/>
  </r>
  <r>
    <x v="9"/>
    <x v="4"/>
    <x v="0"/>
    <x v="15"/>
    <x v="38"/>
    <n v="96"/>
    <n v="95"/>
    <x v="0"/>
    <x v="0"/>
    <n v="1"/>
    <n v="1.0309278350515464E-2"/>
    <n v="2"/>
    <n v="2.0618556701030927E-2"/>
    <x v="0"/>
    <m/>
    <m/>
  </r>
  <r>
    <x v="9"/>
    <x v="4"/>
    <x v="0"/>
    <x v="16"/>
    <x v="122"/>
    <n v="87"/>
    <n v="111"/>
    <x v="0"/>
    <x v="0"/>
    <n v="18"/>
    <n v="0.17142857142857143"/>
    <n v="6"/>
    <n v="5.7142857142857141E-2"/>
    <x v="0"/>
    <m/>
    <m/>
  </r>
  <r>
    <x v="9"/>
    <x v="4"/>
    <x v="0"/>
    <x v="17"/>
    <x v="88"/>
    <n v="89"/>
    <n v="80"/>
    <x v="1"/>
    <x v="0"/>
    <n v="9"/>
    <n v="0.1125"/>
    <n v="0"/>
    <n v="0"/>
    <x v="0"/>
    <m/>
    <m/>
  </r>
  <r>
    <x v="9"/>
    <x v="4"/>
    <x v="0"/>
    <x v="18"/>
    <x v="52"/>
    <n v="76"/>
    <n v="64"/>
    <x v="0"/>
    <x v="0"/>
    <n v="11"/>
    <n v="0.16923076923076924"/>
    <n v="1"/>
    <n v="1.5384615384615385E-2"/>
    <x v="0"/>
    <m/>
    <m/>
  </r>
  <r>
    <x v="9"/>
    <x v="4"/>
    <x v="0"/>
    <x v="19"/>
    <x v="197"/>
    <n v="75"/>
    <n v="66"/>
    <x v="0"/>
    <x v="0"/>
    <n v="6"/>
    <n v="8.6956521739130432E-2"/>
    <n v="3"/>
    <n v="4.3478260869565216E-2"/>
    <x v="0"/>
    <m/>
    <m/>
  </r>
  <r>
    <x v="9"/>
    <x v="4"/>
    <x v="0"/>
    <x v="20"/>
    <x v="45"/>
    <n v="52"/>
    <n v="58"/>
    <x v="0"/>
    <x v="0"/>
    <n v="3"/>
    <n v="5.4545454545454543E-2"/>
    <n v="3"/>
    <n v="5.4545454545454543E-2"/>
    <x v="0"/>
    <m/>
    <m/>
  </r>
  <r>
    <x v="9"/>
    <x v="4"/>
    <x v="0"/>
    <x v="21"/>
    <x v="39"/>
    <n v="72"/>
    <n v="77"/>
    <x v="1"/>
    <x v="0"/>
    <n v="1"/>
    <n v="1.3698630136986301E-2"/>
    <n v="4"/>
    <n v="5.4794520547945202E-2"/>
    <x v="0"/>
    <m/>
    <m/>
  </r>
  <r>
    <x v="9"/>
    <x v="4"/>
    <x v="0"/>
    <x v="22"/>
    <x v="26"/>
    <n v="77"/>
    <n v="88"/>
    <x v="1"/>
    <x v="0"/>
    <n v="5"/>
    <n v="6.097560975609756E-2"/>
    <n v="6"/>
    <n v="7.3170731707317069E-2"/>
    <x v="0"/>
    <m/>
    <m/>
  </r>
  <r>
    <x v="9"/>
    <x v="4"/>
    <x v="0"/>
    <x v="23"/>
    <x v="197"/>
    <n v="69"/>
    <n v="62"/>
    <x v="0"/>
    <x v="0"/>
    <n v="0"/>
    <n v="0"/>
    <n v="7"/>
    <n v="0.10144927536231885"/>
    <x v="0"/>
    <m/>
    <m/>
  </r>
  <r>
    <x v="9"/>
    <x v="4"/>
    <x v="1"/>
    <x v="0"/>
    <x v="133"/>
    <n v="178"/>
    <n v="176"/>
    <x v="0"/>
    <x v="0"/>
    <n v="4"/>
    <n v="2.2988505747126436E-2"/>
    <n v="2"/>
    <n v="1.1494252873563218E-2"/>
    <x v="0"/>
    <m/>
    <m/>
  </r>
  <r>
    <x v="9"/>
    <x v="4"/>
    <x v="1"/>
    <x v="1"/>
    <x v="61"/>
    <n v="140"/>
    <n v="163"/>
    <x v="0"/>
    <x v="0"/>
    <n v="11"/>
    <n v="7.2847682119205295E-2"/>
    <n v="12"/>
    <n v="7.9470198675496692E-2"/>
    <x v="0"/>
    <m/>
    <m/>
  </r>
  <r>
    <x v="9"/>
    <x v="4"/>
    <x v="1"/>
    <x v="2"/>
    <x v="119"/>
    <n v="217"/>
    <n v="190"/>
    <x v="0"/>
    <x v="0"/>
    <n v="25"/>
    <n v="0.13020833333333334"/>
    <n v="2"/>
    <n v="1.0416666666666666E-2"/>
    <x v="0"/>
    <m/>
    <m/>
  </r>
  <r>
    <x v="9"/>
    <x v="4"/>
    <x v="1"/>
    <x v="3"/>
    <x v="132"/>
    <n v="178"/>
    <n v="163"/>
    <x v="1"/>
    <x v="0"/>
    <n v="15"/>
    <n v="9.202453987730061E-2"/>
    <n v="0"/>
    <n v="0"/>
    <x v="0"/>
    <m/>
    <m/>
  </r>
  <r>
    <x v="9"/>
    <x v="4"/>
    <x v="1"/>
    <x v="4"/>
    <x v="152"/>
    <n v="171"/>
    <n v="152"/>
    <x v="0"/>
    <x v="0"/>
    <n v="6"/>
    <n v="3.6363636363636362E-2"/>
    <n v="13"/>
    <n v="7.8787878787878782E-2"/>
    <x v="0"/>
    <m/>
    <m/>
  </r>
  <r>
    <x v="9"/>
    <x v="4"/>
    <x v="1"/>
    <x v="5"/>
    <x v="103"/>
    <n v="50"/>
    <n v="53"/>
    <x v="0"/>
    <x v="1"/>
    <n v="3"/>
    <n v="5.6603773584905662E-2"/>
    <n v="0"/>
    <n v="0"/>
    <x v="0"/>
    <m/>
    <m/>
  </r>
  <r>
    <x v="9"/>
    <x v="4"/>
    <x v="1"/>
    <x v="6"/>
    <x v="18"/>
    <n v="122"/>
    <n v="137"/>
    <x v="1"/>
    <x v="0"/>
    <n v="9"/>
    <n v="6.8702290076335881E-2"/>
    <n v="6"/>
    <n v="4.5801526717557252E-2"/>
    <x v="0"/>
    <m/>
    <m/>
  </r>
  <r>
    <x v="9"/>
    <x v="4"/>
    <x v="1"/>
    <x v="7"/>
    <x v="31"/>
    <n v="110"/>
    <n v="117"/>
    <x v="0"/>
    <x v="0"/>
    <n v="7"/>
    <n v="5.9829059829059832E-2"/>
    <n v="0"/>
    <n v="0"/>
    <x v="0"/>
    <m/>
    <m/>
  </r>
  <r>
    <x v="9"/>
    <x v="4"/>
    <x v="1"/>
    <x v="8"/>
    <x v="9"/>
    <n v="92"/>
    <n v="109"/>
    <x v="1"/>
    <x v="0"/>
    <n v="20"/>
    <n v="0.17857142857142858"/>
    <n v="3"/>
    <n v="2.6785714285714284E-2"/>
    <x v="0"/>
    <m/>
    <m/>
  </r>
  <r>
    <x v="9"/>
    <x v="4"/>
    <x v="1"/>
    <x v="9"/>
    <x v="111"/>
    <n v="142"/>
    <n v="124"/>
    <x v="0"/>
    <x v="0"/>
    <n v="13"/>
    <n v="0.10077519379844961"/>
    <n v="5"/>
    <n v="3.875968992248062E-2"/>
    <x v="0"/>
    <m/>
    <m/>
  </r>
  <r>
    <x v="9"/>
    <x v="4"/>
    <x v="1"/>
    <x v="10"/>
    <x v="186"/>
    <n v="112"/>
    <n v="122"/>
    <x v="0"/>
    <x v="0"/>
    <n v="12"/>
    <n v="9.6774193548387094E-2"/>
    <n v="2"/>
    <n v="1.6129032258064516E-2"/>
    <x v="0"/>
    <m/>
    <m/>
  </r>
  <r>
    <x v="9"/>
    <x v="4"/>
    <x v="1"/>
    <x v="11"/>
    <x v="63"/>
    <n v="180"/>
    <n v="149"/>
    <x v="1"/>
    <x v="0"/>
    <n v="28"/>
    <n v="0.18421052631578946"/>
    <n v="3"/>
    <n v="1.9736842105263157E-2"/>
    <x v="0"/>
    <m/>
    <m/>
  </r>
  <r>
    <x v="9"/>
    <x v="4"/>
    <x v="1"/>
    <x v="12"/>
    <x v="132"/>
    <n v="155"/>
    <n v="156"/>
    <x v="1"/>
    <x v="0"/>
    <n v="8"/>
    <n v="4.9079754601226995E-2"/>
    <n v="7"/>
    <n v="4.2944785276073622E-2"/>
    <x v="0"/>
    <m/>
    <m/>
  </r>
  <r>
    <x v="9"/>
    <x v="4"/>
    <x v="1"/>
    <x v="13"/>
    <x v="65"/>
    <n v="153"/>
    <n v="162"/>
    <x v="0"/>
    <x v="0"/>
    <n v="7"/>
    <n v="4.3749999999999997E-2"/>
    <n v="2"/>
    <n v="1.2500000000000001E-2"/>
    <x v="0"/>
    <m/>
    <m/>
  </r>
  <r>
    <x v="9"/>
    <x v="4"/>
    <x v="1"/>
    <x v="14"/>
    <x v="4"/>
    <n v="166"/>
    <n v="169"/>
    <x v="0"/>
    <x v="0"/>
    <n v="0"/>
    <n v="0"/>
    <n v="3"/>
    <n v="1.8072289156626505E-2"/>
    <x v="0"/>
    <m/>
    <m/>
  </r>
  <r>
    <x v="9"/>
    <x v="4"/>
    <x v="1"/>
    <x v="15"/>
    <x v="133"/>
    <n v="133"/>
    <n v="169"/>
    <x v="0"/>
    <x v="0"/>
    <n v="41"/>
    <n v="0.23563218390804597"/>
    <n v="5"/>
    <n v="2.8735632183908046E-2"/>
    <x v="0"/>
    <m/>
    <m/>
  </r>
  <r>
    <x v="9"/>
    <x v="4"/>
    <x v="1"/>
    <x v="16"/>
    <x v="142"/>
    <n v="150"/>
    <n v="150"/>
    <x v="1"/>
    <x v="0"/>
    <n v="27"/>
    <n v="0.15254237288135594"/>
    <n v="27"/>
    <n v="0.15254237288135594"/>
    <x v="0"/>
    <m/>
    <m/>
  </r>
  <r>
    <x v="9"/>
    <x v="4"/>
    <x v="1"/>
    <x v="17"/>
    <x v="102"/>
    <n v="78"/>
    <n v="71"/>
    <x v="0"/>
    <x v="1"/>
    <n v="2"/>
    <n v="2.6315789473684209E-2"/>
    <n v="5"/>
    <n v="6.5789473684210523E-2"/>
    <x v="0"/>
    <m/>
    <m/>
  </r>
  <r>
    <x v="9"/>
    <x v="4"/>
    <x v="1"/>
    <x v="18"/>
    <x v="18"/>
    <n v="123"/>
    <n v="134"/>
    <x v="0"/>
    <x v="0"/>
    <n v="8"/>
    <n v="6.1068702290076333E-2"/>
    <n v="3"/>
    <n v="2.2900763358778626E-2"/>
    <x v="0"/>
    <m/>
    <m/>
  </r>
  <r>
    <x v="9"/>
    <x v="4"/>
    <x v="1"/>
    <x v="19"/>
    <x v="91"/>
    <n v="83"/>
    <n v="82"/>
    <x v="0"/>
    <x v="0"/>
    <n v="2"/>
    <n v="2.3529411764705882E-2"/>
    <n v="3"/>
    <n v="3.5294117647058823E-2"/>
    <x v="0"/>
    <m/>
    <m/>
  </r>
  <r>
    <x v="9"/>
    <x v="4"/>
    <x v="1"/>
    <x v="20"/>
    <x v="159"/>
    <n v="50"/>
    <n v="62"/>
    <x v="1"/>
    <x v="1"/>
    <n v="12"/>
    <n v="0.19354838709677419"/>
    <n v="0"/>
    <n v="0"/>
    <x v="0"/>
    <m/>
    <m/>
  </r>
  <r>
    <x v="9"/>
    <x v="4"/>
    <x v="1"/>
    <x v="21"/>
    <x v="6"/>
    <n v="150"/>
    <n v="122"/>
    <x v="0"/>
    <x v="0"/>
    <n v="24"/>
    <n v="0.19047619047619047"/>
    <n v="4"/>
    <n v="3.1746031746031744E-2"/>
    <x v="0"/>
    <m/>
    <m/>
  </r>
  <r>
    <x v="9"/>
    <x v="4"/>
    <x v="1"/>
    <x v="22"/>
    <x v="95"/>
    <n v="55"/>
    <n v="58"/>
    <x v="0"/>
    <x v="1"/>
    <n v="12"/>
    <n v="0.17910447761194029"/>
    <n v="9"/>
    <n v="0.13432835820895522"/>
    <x v="0"/>
    <m/>
    <m/>
  </r>
  <r>
    <x v="9"/>
    <x v="4"/>
    <x v="1"/>
    <x v="23"/>
    <x v="41"/>
    <n v="78"/>
    <n v="82"/>
    <x v="0"/>
    <x v="1"/>
    <n v="0"/>
    <n v="0"/>
    <n v="4"/>
    <n v="5.128205128205128E-2"/>
    <x v="0"/>
    <m/>
    <m/>
  </r>
  <r>
    <x v="9"/>
    <x v="4"/>
    <x v="2"/>
    <x v="0"/>
    <x v="35"/>
    <n v="85"/>
    <n v="81"/>
    <x v="0"/>
    <x v="0"/>
    <n v="3"/>
    <n v="3.4090909090909088E-2"/>
    <n v="7"/>
    <n v="7.9545454545454544E-2"/>
    <x v="0"/>
    <m/>
    <m/>
  </r>
  <r>
    <x v="9"/>
    <x v="4"/>
    <x v="2"/>
    <x v="1"/>
    <x v="85"/>
    <n v="83"/>
    <n v="96"/>
    <x v="1"/>
    <x v="0"/>
    <n v="20"/>
    <n v="0.1941747572815534"/>
    <n v="7"/>
    <n v="6.7961165048543687E-2"/>
    <x v="0"/>
    <m/>
    <m/>
  </r>
  <r>
    <x v="9"/>
    <x v="4"/>
    <x v="2"/>
    <x v="2"/>
    <x v="37"/>
    <n v="102"/>
    <n v="97"/>
    <x v="0"/>
    <x v="0"/>
    <n v="5"/>
    <n v="4.6728971962616821E-2"/>
    <n v="10"/>
    <n v="9.3457943925233641E-2"/>
    <x v="0"/>
    <m/>
    <m/>
  </r>
  <r>
    <x v="9"/>
    <x v="4"/>
    <x v="2"/>
    <x v="3"/>
    <x v="74"/>
    <n v="96"/>
    <n v="91"/>
    <x v="1"/>
    <x v="0"/>
    <n v="3"/>
    <n v="3.0303030303030304E-2"/>
    <n v="8"/>
    <n v="8.0808080808080815E-2"/>
    <x v="0"/>
    <m/>
    <m/>
  </r>
  <r>
    <x v="9"/>
    <x v="4"/>
    <x v="2"/>
    <x v="4"/>
    <x v="15"/>
    <n v="103"/>
    <n v="89"/>
    <x v="0"/>
    <x v="0"/>
    <n v="16"/>
    <n v="0.18390804597701149"/>
    <n v="2"/>
    <n v="2.2988505747126436E-2"/>
    <x v="0"/>
    <m/>
    <m/>
  </r>
  <r>
    <x v="9"/>
    <x v="4"/>
    <x v="2"/>
    <x v="5"/>
    <x v="93"/>
    <n v="76"/>
    <n v="72"/>
    <x v="0"/>
    <x v="0"/>
    <n v="1"/>
    <n v="1.2987012987012988E-2"/>
    <n v="5"/>
    <n v="6.4935064935064929E-2"/>
    <x v="0"/>
    <m/>
    <m/>
  </r>
  <r>
    <x v="9"/>
    <x v="4"/>
    <x v="2"/>
    <x v="6"/>
    <x v="53"/>
    <n v="71"/>
    <n v="63"/>
    <x v="1"/>
    <x v="0"/>
    <n v="7"/>
    <n v="0.109375"/>
    <n v="1"/>
    <n v="1.5625E-2"/>
    <x v="0"/>
    <m/>
    <m/>
  </r>
  <r>
    <x v="9"/>
    <x v="4"/>
    <x v="2"/>
    <x v="7"/>
    <x v="101"/>
    <n v="60"/>
    <n v="57"/>
    <x v="0"/>
    <x v="0"/>
    <n v="2"/>
    <n v="3.4482758620689655E-2"/>
    <n v="1"/>
    <n v="1.7241379310344827E-2"/>
    <x v="0"/>
    <m/>
    <m/>
  </r>
  <r>
    <x v="9"/>
    <x v="4"/>
    <x v="2"/>
    <x v="8"/>
    <x v="53"/>
    <n v="49"/>
    <n v="60"/>
    <x v="1"/>
    <x v="0"/>
    <n v="15"/>
    <n v="0.234375"/>
    <n v="4"/>
    <n v="6.25E-2"/>
    <x v="0"/>
    <m/>
    <m/>
  </r>
  <r>
    <x v="9"/>
    <x v="4"/>
    <x v="2"/>
    <x v="9"/>
    <x v="43"/>
    <n v="66"/>
    <n v="68"/>
    <x v="0"/>
    <x v="0"/>
    <n v="4"/>
    <n v="5.7142857142857141E-2"/>
    <n v="2"/>
    <n v="2.8571428571428571E-2"/>
    <x v="0"/>
    <m/>
    <m/>
  </r>
  <r>
    <x v="9"/>
    <x v="4"/>
    <x v="2"/>
    <x v="10"/>
    <x v="97"/>
    <n v="53"/>
    <n v="54"/>
    <x v="0"/>
    <x v="0"/>
    <n v="3"/>
    <n v="5.3571428571428568E-2"/>
    <n v="2"/>
    <n v="3.5714285714285712E-2"/>
    <x v="0"/>
    <m/>
    <m/>
  </r>
  <r>
    <x v="9"/>
    <x v="4"/>
    <x v="2"/>
    <x v="11"/>
    <x v="43"/>
    <n v="82"/>
    <n v="64"/>
    <x v="1"/>
    <x v="0"/>
    <n v="12"/>
    <n v="0.17142857142857143"/>
    <n v="6"/>
    <n v="8.5714285714285715E-2"/>
    <x v="0"/>
    <m/>
    <m/>
  </r>
  <r>
    <x v="9"/>
    <x v="4"/>
    <x v="2"/>
    <x v="12"/>
    <x v="51"/>
    <n v="101"/>
    <n v="91"/>
    <x v="1"/>
    <x v="0"/>
    <n v="6"/>
    <n v="6.3157894736842107E-2"/>
    <n v="4"/>
    <n v="4.2105263157894736E-2"/>
    <x v="0"/>
    <m/>
    <m/>
  </r>
  <r>
    <x v="9"/>
    <x v="4"/>
    <x v="2"/>
    <x v="13"/>
    <x v="27"/>
    <n v="104"/>
    <n v="95"/>
    <x v="0"/>
    <x v="0"/>
    <n v="11"/>
    <n v="0.11827956989247312"/>
    <n v="2"/>
    <n v="2.1505376344086023E-2"/>
    <x v="0"/>
    <m/>
    <m/>
  </r>
  <r>
    <x v="9"/>
    <x v="4"/>
    <x v="2"/>
    <x v="14"/>
    <x v="40"/>
    <n v="74"/>
    <n v="83"/>
    <x v="0"/>
    <x v="0"/>
    <n v="5"/>
    <n v="6.3291139240506333E-2"/>
    <n v="4"/>
    <n v="5.0632911392405063E-2"/>
    <x v="0"/>
    <m/>
    <m/>
  </r>
  <r>
    <x v="9"/>
    <x v="4"/>
    <x v="2"/>
    <x v="15"/>
    <x v="93"/>
    <n v="66"/>
    <n v="73"/>
    <x v="0"/>
    <x v="0"/>
    <n v="11"/>
    <n v="0.14285714285714285"/>
    <n v="4"/>
    <n v="5.1948051948051951E-2"/>
    <x v="0"/>
    <m/>
    <m/>
  </r>
  <r>
    <x v="9"/>
    <x v="4"/>
    <x v="2"/>
    <x v="16"/>
    <x v="93"/>
    <n v="79"/>
    <n v="71"/>
    <x v="0"/>
    <x v="0"/>
    <n v="2"/>
    <n v="2.5974025974025976E-2"/>
    <n v="6"/>
    <n v="7.792207792207792E-2"/>
    <x v="0"/>
    <m/>
    <m/>
  </r>
  <r>
    <x v="9"/>
    <x v="4"/>
    <x v="2"/>
    <x v="17"/>
    <x v="44"/>
    <n v="28"/>
    <n v="33"/>
    <x v="1"/>
    <x v="1"/>
    <n v="4"/>
    <n v="0.125"/>
    <n v="1"/>
    <n v="3.125E-2"/>
    <x v="0"/>
    <m/>
    <m/>
  </r>
  <r>
    <x v="9"/>
    <x v="4"/>
    <x v="2"/>
    <x v="18"/>
    <x v="43"/>
    <n v="55"/>
    <n v="71"/>
    <x v="0"/>
    <x v="0"/>
    <n v="15"/>
    <n v="0.21428571428571427"/>
    <n v="1"/>
    <n v="1.4285714285714285E-2"/>
    <x v="0"/>
    <m/>
    <m/>
  </r>
  <r>
    <x v="9"/>
    <x v="4"/>
    <x v="2"/>
    <x v="19"/>
    <x v="46"/>
    <n v="56"/>
    <n v="69"/>
    <x v="1"/>
    <x v="0"/>
    <n v="10"/>
    <n v="0.15151515151515152"/>
    <n v="3"/>
    <n v="4.5454545454545456E-2"/>
    <x v="0"/>
    <m/>
    <m/>
  </r>
  <r>
    <x v="9"/>
    <x v="4"/>
    <x v="2"/>
    <x v="20"/>
    <x v="159"/>
    <n v="59"/>
    <n v="65"/>
    <x v="0"/>
    <x v="0"/>
    <n v="3"/>
    <n v="4.8387096774193547E-2"/>
    <n v="3"/>
    <n v="4.8387096774193547E-2"/>
    <x v="0"/>
    <m/>
    <m/>
  </r>
  <r>
    <x v="9"/>
    <x v="4"/>
    <x v="2"/>
    <x v="21"/>
    <x v="54"/>
    <n v="51"/>
    <n v="59"/>
    <x v="1"/>
    <x v="0"/>
    <n v="6"/>
    <n v="0.10526315789473684"/>
    <n v="2"/>
    <n v="3.5087719298245612E-2"/>
    <x v="0"/>
    <m/>
    <m/>
  </r>
  <r>
    <x v="9"/>
    <x v="4"/>
    <x v="2"/>
    <x v="22"/>
    <x v="21"/>
    <n v="63"/>
    <n v="76"/>
    <x v="0"/>
    <x v="0"/>
    <n v="11"/>
    <n v="0.14864864864864866"/>
    <n v="2"/>
    <n v="2.7027027027027029E-2"/>
    <x v="0"/>
    <m/>
    <m/>
  </r>
  <r>
    <x v="9"/>
    <x v="4"/>
    <x v="2"/>
    <x v="23"/>
    <x v="40"/>
    <n v="63"/>
    <n v="80"/>
    <x v="0"/>
    <x v="0"/>
    <n v="16"/>
    <n v="0.20253164556962025"/>
    <n v="1"/>
    <n v="1.2658227848101266E-2"/>
    <x v="0"/>
    <m/>
    <m/>
  </r>
  <r>
    <x v="9"/>
    <x v="4"/>
    <x v="3"/>
    <x v="0"/>
    <x v="101"/>
    <n v="49"/>
    <n v="56"/>
    <x v="0"/>
    <x v="0"/>
    <n v="9"/>
    <n v="0.15517241379310345"/>
    <n v="2"/>
    <n v="3.4482758620689655E-2"/>
    <x v="0"/>
    <m/>
    <m/>
  </r>
  <r>
    <x v="9"/>
    <x v="4"/>
    <x v="3"/>
    <x v="1"/>
    <x v="10"/>
    <n v="72"/>
    <n v="70"/>
    <x v="0"/>
    <x v="0"/>
    <n v="1"/>
    <n v="1.4084507042253521E-2"/>
    <n v="1"/>
    <n v="1.4084507042253521E-2"/>
    <x v="0"/>
    <m/>
    <m/>
  </r>
  <r>
    <x v="9"/>
    <x v="4"/>
    <x v="3"/>
    <x v="2"/>
    <x v="158"/>
    <n v="55"/>
    <n v="55"/>
    <x v="0"/>
    <x v="0"/>
    <n v="6"/>
    <n v="9.8360655737704916E-2"/>
    <n v="6"/>
    <n v="9.8360655737704916E-2"/>
    <x v="0"/>
    <m/>
    <m/>
  </r>
  <r>
    <x v="9"/>
    <x v="4"/>
    <x v="3"/>
    <x v="3"/>
    <x v="89"/>
    <n v="67"/>
    <n v="58"/>
    <x v="0"/>
    <x v="0"/>
    <n v="4"/>
    <n v="6.3492063492063489E-2"/>
    <n v="5"/>
    <n v="7.9365079365079361E-2"/>
    <x v="0"/>
    <m/>
    <m/>
  </r>
  <r>
    <x v="9"/>
    <x v="4"/>
    <x v="3"/>
    <x v="4"/>
    <x v="178"/>
    <n v="60"/>
    <n v="50"/>
    <x v="0"/>
    <x v="0"/>
    <n v="9"/>
    <n v="0.17647058823529413"/>
    <n v="1"/>
    <n v="1.9607843137254902E-2"/>
    <x v="0"/>
    <m/>
    <m/>
  </r>
  <r>
    <x v="9"/>
    <x v="4"/>
    <x v="3"/>
    <x v="5"/>
    <x v="136"/>
    <n v="44"/>
    <n v="50"/>
    <x v="1"/>
    <x v="0"/>
    <n v="5"/>
    <n v="0.10204081632653061"/>
    <n v="1"/>
    <n v="2.0408163265306121E-2"/>
    <x v="0"/>
    <m/>
    <m/>
  </r>
  <r>
    <x v="9"/>
    <x v="4"/>
    <x v="3"/>
    <x v="6"/>
    <x v="198"/>
    <n v="50"/>
    <n v="43"/>
    <x v="1"/>
    <x v="0"/>
    <n v="4"/>
    <n v="8.6956521739130432E-2"/>
    <n v="3"/>
    <n v="6.5217391304347824E-2"/>
    <x v="0"/>
    <m/>
    <m/>
  </r>
  <r>
    <x v="9"/>
    <x v="4"/>
    <x v="3"/>
    <x v="7"/>
    <x v="205"/>
    <n v="18"/>
    <n v="18"/>
    <x v="0"/>
    <x v="1"/>
    <n v="1"/>
    <n v="5.2631578947368418E-2"/>
    <n v="1"/>
    <n v="5.2631578947368418E-2"/>
    <x v="0"/>
    <m/>
    <m/>
  </r>
  <r>
    <x v="9"/>
    <x v="4"/>
    <x v="3"/>
    <x v="8"/>
    <x v="100"/>
    <n v="50"/>
    <n v="51"/>
    <x v="0"/>
    <x v="0"/>
    <n v="0"/>
    <n v="0"/>
    <n v="1"/>
    <n v="0.02"/>
    <x v="0"/>
    <m/>
    <m/>
  </r>
  <r>
    <x v="9"/>
    <x v="4"/>
    <x v="3"/>
    <x v="9"/>
    <x v="48"/>
    <n v="43"/>
    <n v="43"/>
    <x v="0"/>
    <x v="0"/>
    <n v="2"/>
    <n v="4.878048780487805E-2"/>
    <n v="2"/>
    <n v="4.878048780487805E-2"/>
    <x v="0"/>
    <m/>
    <m/>
  </r>
  <r>
    <x v="9"/>
    <x v="4"/>
    <x v="3"/>
    <x v="10"/>
    <x v="206"/>
    <n v="37"/>
    <n v="47"/>
    <x v="0"/>
    <x v="0"/>
    <n v="8"/>
    <n v="0.17777777777777778"/>
    <n v="2"/>
    <n v="4.4444444444444446E-2"/>
    <x v="0"/>
    <m/>
    <m/>
  </r>
  <r>
    <x v="9"/>
    <x v="4"/>
    <x v="3"/>
    <x v="11"/>
    <x v="136"/>
    <n v="61"/>
    <n v="49"/>
    <x v="1"/>
    <x v="0"/>
    <n v="12"/>
    <n v="0.24489795918367346"/>
    <n v="0"/>
    <n v="0"/>
    <x v="0"/>
    <m/>
    <m/>
  </r>
  <r>
    <x v="9"/>
    <x v="4"/>
    <x v="3"/>
    <x v="12"/>
    <x v="45"/>
    <n v="46"/>
    <n v="59"/>
    <x v="1"/>
    <x v="0"/>
    <n v="9"/>
    <n v="0.16363636363636364"/>
    <n v="4"/>
    <n v="7.2727272727272724E-2"/>
    <x v="0"/>
    <m/>
    <m/>
  </r>
  <r>
    <x v="9"/>
    <x v="4"/>
    <x v="3"/>
    <x v="13"/>
    <x v="55"/>
    <n v="54"/>
    <n v="54"/>
    <x v="0"/>
    <x v="0"/>
    <n v="5"/>
    <n v="8.4745762711864403E-2"/>
    <n v="5"/>
    <n v="8.4745762711864403E-2"/>
    <x v="0"/>
    <m/>
    <m/>
  </r>
  <r>
    <x v="9"/>
    <x v="4"/>
    <x v="3"/>
    <x v="14"/>
    <x v="53"/>
    <n v="58"/>
    <n v="64"/>
    <x v="0"/>
    <x v="0"/>
    <n v="6"/>
    <n v="9.375E-2"/>
    <n v="0"/>
    <n v="0"/>
    <x v="0"/>
    <m/>
    <m/>
  </r>
  <r>
    <x v="9"/>
    <x v="4"/>
    <x v="3"/>
    <x v="15"/>
    <x v="95"/>
    <n v="70"/>
    <n v="69"/>
    <x v="0"/>
    <x v="0"/>
    <n v="3"/>
    <n v="4.4776119402985072E-2"/>
    <n v="2"/>
    <n v="2.9850746268656716E-2"/>
    <x v="0"/>
    <m/>
    <m/>
  </r>
  <r>
    <x v="9"/>
    <x v="4"/>
    <x v="3"/>
    <x v="16"/>
    <x v="53"/>
    <n v="64"/>
    <n v="63"/>
    <x v="0"/>
    <x v="0"/>
    <n v="0"/>
    <n v="0"/>
    <n v="1"/>
    <n v="1.5625E-2"/>
    <x v="0"/>
    <m/>
    <m/>
  </r>
  <r>
    <x v="9"/>
    <x v="4"/>
    <x v="3"/>
    <x v="17"/>
    <x v="190"/>
    <n v="25"/>
    <n v="25"/>
    <x v="1"/>
    <x v="1"/>
    <n v="3"/>
    <n v="0.10714285714285714"/>
    <n v="3"/>
    <n v="0.10714285714285714"/>
    <x v="0"/>
    <m/>
    <m/>
  </r>
  <r>
    <x v="9"/>
    <x v="4"/>
    <x v="3"/>
    <x v="18"/>
    <x v="178"/>
    <n v="52"/>
    <n v="53"/>
    <x v="1"/>
    <x v="0"/>
    <n v="1"/>
    <n v="1.9607843137254902E-2"/>
    <n v="2"/>
    <n v="3.9215686274509803E-2"/>
    <x v="0"/>
    <m/>
    <m/>
  </r>
  <r>
    <x v="9"/>
    <x v="4"/>
    <x v="3"/>
    <x v="19"/>
    <x v="34"/>
    <n v="52"/>
    <n v="44"/>
    <x v="0"/>
    <x v="0"/>
    <n v="5"/>
    <n v="0.10638297872340426"/>
    <n v="3"/>
    <n v="6.3829787234042548E-2"/>
    <x v="0"/>
    <m/>
    <m/>
  </r>
  <r>
    <x v="9"/>
    <x v="4"/>
    <x v="3"/>
    <x v="20"/>
    <x v="98"/>
    <n v="38"/>
    <n v="45"/>
    <x v="0"/>
    <x v="0"/>
    <n v="5"/>
    <n v="0.11627906976744186"/>
    <n v="2"/>
    <n v="4.6511627906976744E-2"/>
    <x v="0"/>
    <m/>
    <m/>
  </r>
  <r>
    <x v="9"/>
    <x v="4"/>
    <x v="3"/>
    <x v="21"/>
    <x v="70"/>
    <n v="36"/>
    <n v="42"/>
    <x v="0"/>
    <x v="0"/>
    <n v="6"/>
    <n v="0.14285714285714285"/>
    <n v="0"/>
    <n v="0"/>
    <x v="0"/>
    <m/>
    <m/>
  </r>
  <r>
    <x v="9"/>
    <x v="4"/>
    <x v="3"/>
    <x v="22"/>
    <x v="45"/>
    <n v="50"/>
    <n v="51"/>
    <x v="1"/>
    <x v="0"/>
    <n v="5"/>
    <n v="9.0909090909090912E-2"/>
    <n v="4"/>
    <n v="7.2727272727272724E-2"/>
    <x v="0"/>
    <m/>
    <m/>
  </r>
  <r>
    <x v="9"/>
    <x v="4"/>
    <x v="3"/>
    <x v="23"/>
    <x v="34"/>
    <n v="46"/>
    <n v="51"/>
    <x v="0"/>
    <x v="0"/>
    <n v="1"/>
    <n v="2.1276595744680851E-2"/>
    <n v="4"/>
    <n v="8.5106382978723402E-2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95757-1EEE-4542-ACA1-C7D777EEE761}" name="PivotTable23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5:D56" firstHeaderRow="0" firstDataRow="1" firstDataCol="1" rowPageCount="3" colPageCount="1"/>
  <pivotFields count="16">
    <pivotField axis="axisRow" multipleItemSelectionAllowed="1" showAll="0">
      <items count="11">
        <item x="2"/>
        <item x="3"/>
        <item x="6"/>
        <item x="7"/>
        <item x="0"/>
        <item x="1"/>
        <item x="4"/>
        <item x="5"/>
        <item x="8"/>
        <item x="9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>
      <items count="208">
        <item x="205"/>
        <item x="104"/>
        <item x="195"/>
        <item x="189"/>
        <item x="190"/>
        <item x="194"/>
        <item x="99"/>
        <item x="96"/>
        <item x="44"/>
        <item x="196"/>
        <item x="72"/>
        <item x="199"/>
        <item x="187"/>
        <item x="204"/>
        <item x="185"/>
        <item x="48"/>
        <item x="70"/>
        <item x="98"/>
        <item x="123"/>
        <item x="206"/>
        <item x="198"/>
        <item x="34"/>
        <item x="134"/>
        <item x="136"/>
        <item x="100"/>
        <item x="178"/>
        <item x="121"/>
        <item x="103"/>
        <item x="47"/>
        <item x="45"/>
        <item x="97"/>
        <item x="54"/>
        <item x="101"/>
        <item x="55"/>
        <item x="49"/>
        <item x="158"/>
        <item x="159"/>
        <item x="89"/>
        <item x="53"/>
        <item x="52"/>
        <item x="46"/>
        <item x="95"/>
        <item x="81"/>
        <item x="197"/>
        <item x="43"/>
        <item x="10"/>
        <item x="42"/>
        <item x="39"/>
        <item x="21"/>
        <item x="94"/>
        <item x="102"/>
        <item x="93"/>
        <item x="41"/>
        <item x="40"/>
        <item x="88"/>
        <item x="188"/>
        <item x="26"/>
        <item x="90"/>
        <item x="50"/>
        <item x="91"/>
        <item x="120"/>
        <item x="15"/>
        <item x="35"/>
        <item x="71"/>
        <item x="157"/>
        <item x="135"/>
        <item x="36"/>
        <item x="27"/>
        <item x="3"/>
        <item x="51"/>
        <item x="82"/>
        <item x="38"/>
        <item x="66"/>
        <item x="74"/>
        <item x="28"/>
        <item x="181"/>
        <item x="29"/>
        <item x="85"/>
        <item x="2"/>
        <item x="122"/>
        <item x="79"/>
        <item x="37"/>
        <item x="80"/>
        <item x="69"/>
        <item x="92"/>
        <item x="25"/>
        <item x="9"/>
        <item x="75"/>
        <item x="19"/>
        <item x="68"/>
        <item x="87"/>
        <item x="31"/>
        <item x="32"/>
        <item x="78"/>
        <item x="84"/>
        <item x="23"/>
        <item x="20"/>
        <item x="144"/>
        <item x="186"/>
        <item x="8"/>
        <item x="6"/>
        <item x="24"/>
        <item x="156"/>
        <item x="111"/>
        <item x="86"/>
        <item x="18"/>
        <item x="153"/>
        <item x="59"/>
        <item x="62"/>
        <item x="12"/>
        <item x="83"/>
        <item x="33"/>
        <item x="77"/>
        <item x="16"/>
        <item x="30"/>
        <item x="114"/>
        <item x="141"/>
        <item x="155"/>
        <item x="22"/>
        <item x="7"/>
        <item x="73"/>
        <item x="0"/>
        <item x="154"/>
        <item x="151"/>
        <item x="113"/>
        <item x="61"/>
        <item x="63"/>
        <item x="145"/>
        <item x="175"/>
        <item x="193"/>
        <item x="148"/>
        <item x="76"/>
        <item x="14"/>
        <item x="57"/>
        <item x="65"/>
        <item x="1"/>
        <item x="13"/>
        <item x="132"/>
        <item x="5"/>
        <item x="152"/>
        <item x="4"/>
        <item x="161"/>
        <item x="11"/>
        <item x="64"/>
        <item x="118"/>
        <item x="60"/>
        <item x="17"/>
        <item x="171"/>
        <item x="133"/>
        <item x="137"/>
        <item x="167"/>
        <item x="142"/>
        <item x="162"/>
        <item x="67"/>
        <item x="110"/>
        <item x="191"/>
        <item x="163"/>
        <item x="176"/>
        <item x="150"/>
        <item x="56"/>
        <item x="182"/>
        <item x="140"/>
        <item x="58"/>
        <item x="160"/>
        <item x="173"/>
        <item x="119"/>
        <item x="126"/>
        <item x="164"/>
        <item x="112"/>
        <item x="174"/>
        <item x="147"/>
        <item x="192"/>
        <item x="139"/>
        <item x="129"/>
        <item x="108"/>
        <item x="115"/>
        <item x="166"/>
        <item x="172"/>
        <item x="105"/>
        <item x="143"/>
        <item x="117"/>
        <item x="116"/>
        <item x="109"/>
        <item x="200"/>
        <item x="203"/>
        <item x="149"/>
        <item x="107"/>
        <item x="131"/>
        <item x="138"/>
        <item x="127"/>
        <item x="201"/>
        <item x="106"/>
        <item x="130"/>
        <item x="177"/>
        <item x="180"/>
        <item x="128"/>
        <item x="202"/>
        <item x="184"/>
        <item x="179"/>
        <item x="146"/>
        <item x="165"/>
        <item x="169"/>
        <item x="168"/>
        <item x="125"/>
        <item x="183"/>
        <item x="124"/>
        <item x="170"/>
        <item t="default"/>
      </items>
    </pivotField>
    <pivotField dataField="1" showAll="0"/>
    <pivotField dataField="1" showAll="0"/>
    <pivotField axis="axisPage" multipleItemSelectionAllowed="1" showAll="0">
      <items count="3">
        <item x="0"/>
        <item x="1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showAll="0"/>
    <pivotField numFmtId="10" showAll="0"/>
    <pivotField showAll="0"/>
    <pivotField numFmtId="10" showAll="0"/>
    <pivotField showAll="0">
      <items count="2">
        <item x="0"/>
        <item t="default"/>
      </items>
    </pivotField>
    <pivotField showAll="0"/>
    <pivotField showAll="0"/>
  </pivotFields>
  <rowFields count="2">
    <field x="0"/>
    <field x="2"/>
  </rowFields>
  <rowItems count="5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3" hier="-1"/>
    <pageField fld="8" hier="-1"/>
    <pageField fld="7" hier="-1"/>
  </pageFields>
  <dataFields count="3">
    <dataField name="Sum of Actual_Sales" fld="4" baseField="0" baseItem="0"/>
    <dataField name="Sum of Consensus_Forecast" fld="6" baseField="0" baseItem="0"/>
    <dataField name="Sum of Statistical_Forecas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AC800-794C-4E32-A12E-FB5EC0579827}" name="Table1" displayName="Table1" ref="A3:G5" totalsRowShown="0" headerRowDxfId="4" dataDxfId="3" headerRowBorderDxfId="1" tableBorderDxfId="2" totalsRowBorderDxfId="0">
  <tableColumns count="7">
    <tableColumn id="1" xr3:uid="{C668A980-1200-4231-9328-2809498A6CDC}" name="Promotion_Flag" dataDxfId="11"/>
    <tableColumn id="2" xr3:uid="{85676819-4100-4428-A9E2-3990C8B2EC92}" name="Statistical_MAPE" dataDxfId="10">
      <calculatedColumnFormula>AVERAGEIF(Calculations!H:H,A4,Calculations!K:K)</calculatedColumnFormula>
    </tableColumn>
    <tableColumn id="3" xr3:uid="{60556B7D-0008-4C66-A65E-901D2244C160}" name="Consensus_MAPE" dataDxfId="9">
      <calculatedColumnFormula>AVERAGEIF(Calculations!H:H,A4,Calculations!M:M)</calculatedColumnFormula>
    </tableColumn>
    <tableColumn id="4" xr3:uid="{8F13A110-FA63-4A56-A03F-412DD49F42F1}" name="Statistical_WAPE" dataDxfId="8">
      <calculatedColumnFormula>SUMIF(Calculations!H:H,A4,Calculations!J:J)/SUMIF(Calculations!H:H,A4,Calculations!E:E)</calculatedColumnFormula>
    </tableColumn>
    <tableColumn id="5" xr3:uid="{A7283725-3AF0-4075-9419-06B70D914965}" name="Consensus_WAPE" dataDxfId="7">
      <calculatedColumnFormula>SUMIF(Calculations!H:H,A4,Calculations!L:L)/SUMIF(Calculations!H:H,A4,Calculations!E:E)</calculatedColumnFormula>
    </tableColumn>
    <tableColumn id="6" xr3:uid="{AFB9ADA6-66C2-423B-B00E-ACF5C391529B}" name="Avg_Actual_Sales" dataDxfId="6">
      <calculatedColumnFormula>AVERAGEIF(Calculations!H:H,A4,Calculations!E:E)</calculatedColumnFormula>
    </tableColumn>
    <tableColumn id="7" xr3:uid="{85C046D6-C101-4D97-B375-2C5854CBEFD0}" name="Row_Count" dataDxfId="5">
      <calculatedColumnFormula>COUNTIF(Calculations!H:H,A4)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6988-3FB7-4DA9-9DBD-4881CEE149D0}">
  <dimension ref="B1:K10"/>
  <sheetViews>
    <sheetView showGridLines="0" workbookViewId="0">
      <selection activeCell="E9" sqref="E9"/>
    </sheetView>
  </sheetViews>
  <sheetFormatPr defaultRowHeight="14.5" x14ac:dyDescent="0.35"/>
  <cols>
    <col min="2" max="2" width="31.90625" customWidth="1"/>
    <col min="3" max="3" width="15.453125" bestFit="1" customWidth="1"/>
    <col min="4" max="4" width="18.6328125" bestFit="1" customWidth="1"/>
    <col min="5" max="6" width="17.26953125" bestFit="1" customWidth="1"/>
    <col min="7" max="7" width="6.26953125" bestFit="1" customWidth="1"/>
    <col min="8" max="8" width="14.54296875" bestFit="1" customWidth="1"/>
    <col min="9" max="9" width="7.453125" bestFit="1" customWidth="1"/>
    <col min="10" max="10" width="14.7265625" bestFit="1" customWidth="1"/>
    <col min="11" max="11" width="5.26953125" bestFit="1" customWidth="1"/>
  </cols>
  <sheetData>
    <row r="1" spans="2:11" ht="24.5" x14ac:dyDescent="0.7">
      <c r="B1" s="37" t="s">
        <v>113</v>
      </c>
    </row>
    <row r="3" spans="2:11" ht="15.5" x14ac:dyDescent="0.35">
      <c r="B3" s="48" t="s">
        <v>114</v>
      </c>
    </row>
    <row r="5" spans="2:11" x14ac:dyDescent="0.35">
      <c r="B5" s="38" t="s">
        <v>115</v>
      </c>
      <c r="C5" s="38" t="s">
        <v>116</v>
      </c>
      <c r="D5" s="38" t="s">
        <v>117</v>
      </c>
      <c r="E5" s="38" t="s">
        <v>118</v>
      </c>
    </row>
    <row r="6" spans="2:11" ht="25" x14ac:dyDescent="0.5">
      <c r="B6" s="39">
        <f>'Forecast_Accuracy Metrics'!B5</f>
        <v>0.12048881073312684</v>
      </c>
      <c r="C6" s="39">
        <f>'Forecast_Accuracy Metrics'!C5</f>
        <v>4.3694823569318114E-2</v>
      </c>
      <c r="D6" s="39">
        <f>'Forecast_Accuracy Metrics'!D5</f>
        <v>4.9014969605541518E-2</v>
      </c>
      <c r="E6" s="40">
        <f>'Forecast_Accuracy Metrics'!B7</f>
        <v>8.0812500000000007</v>
      </c>
    </row>
    <row r="8" spans="2:11" ht="15.5" x14ac:dyDescent="0.35">
      <c r="B8" s="41" t="s">
        <v>119</v>
      </c>
      <c r="C8" s="42" t="s">
        <v>39</v>
      </c>
      <c r="D8" s="43" t="s">
        <v>120</v>
      </c>
      <c r="E8" s="44">
        <f>INDEX(SKU_Pareto!C4:C13,MATCH($C$8,SKU_Pareto!A4:A13,0))</f>
        <v>10240</v>
      </c>
      <c r="F8" s="43" t="s">
        <v>124</v>
      </c>
      <c r="G8" s="45">
        <f>INDEX(SKU_Pareto!F4:F13,MATCH($C$8,SKU_Pareto!A4:A13,0))</f>
        <v>0.12431640625</v>
      </c>
      <c r="H8" s="43" t="s">
        <v>123</v>
      </c>
      <c r="I8" s="46">
        <f>INDEX(SKU_Pareto!G4:G13,MATCH($C$8,SKU_Pareto!A4:A13,0))</f>
        <v>5.1660156249999999E-2</v>
      </c>
      <c r="J8" s="43" t="s">
        <v>127</v>
      </c>
      <c r="K8" s="47">
        <f>INDEX(SKU_Pareto!H4:H13,MATCH($C$8,SKU_Pareto!A4:A13,0))</f>
        <v>5.6054687499999999E-2</v>
      </c>
    </row>
    <row r="10" spans="2:11" ht="15.5" x14ac:dyDescent="0.35">
      <c r="B10" s="41" t="s">
        <v>121</v>
      </c>
      <c r="C10" s="42" t="s">
        <v>37</v>
      </c>
      <c r="D10" s="43" t="s">
        <v>122</v>
      </c>
      <c r="E10" s="45">
        <f>INDEX('Region Category'!B4:B7,MATCH($C$10,'Region Category'!A4:A7,0))</f>
        <v>0.11413236357516753</v>
      </c>
      <c r="F10" s="43" t="s">
        <v>125</v>
      </c>
      <c r="G10" s="46">
        <f>INDEX('Region Category'!C4:C7,MATCH($C$10,'Region Category'!A4:A7,0))</f>
        <v>4.4646174444341581E-2</v>
      </c>
      <c r="H10" s="43" t="s">
        <v>126</v>
      </c>
      <c r="I10" s="47">
        <f>INDEX('Region Category'!D4:D7,MATCH($C$10,'Region Category'!A4:A7,0))</f>
        <v>5.8900977200342007E-2</v>
      </c>
    </row>
  </sheetData>
  <dataValidations count="1">
    <dataValidation type="list" sqref="C10" xr:uid="{4AF8F737-3B24-4282-8952-5BDE08C0F692}">
      <formula1>"APAC,EMEA,LATAM,North America"</formula1>
      <formula2>0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D86D06-6005-4E4C-8480-41FDB3086835}">
          <x14:formula1>
            <xm:f>SKU_Pareto!$A$4:$A$13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61"/>
  <sheetViews>
    <sheetView showGridLines="0" topLeftCell="G1" workbookViewId="0">
      <selection activeCell="O969" sqref="O969"/>
    </sheetView>
  </sheetViews>
  <sheetFormatPr defaultRowHeight="14.5" x14ac:dyDescent="0.35"/>
  <cols>
    <col min="1" max="1" width="10.6328125" bestFit="1" customWidth="1"/>
    <col min="2" max="2" width="16.453125" bestFit="1" customWidth="1"/>
    <col min="3" max="3" width="13" bestFit="1" customWidth="1"/>
    <col min="5" max="5" width="13.453125" bestFit="1" customWidth="1"/>
    <col min="6" max="6" width="19" bestFit="1" customWidth="1"/>
    <col min="7" max="7" width="20.1796875" bestFit="1" customWidth="1"/>
    <col min="8" max="8" width="16.26953125" bestFit="1" customWidth="1"/>
    <col min="9" max="9" width="14.54296875" bestFit="1" customWidth="1"/>
    <col min="10" max="10" width="10.54296875" bestFit="1" customWidth="1"/>
    <col min="11" max="11" width="8.7265625" style="27"/>
    <col min="12" max="12" width="11.453125" bestFit="1" customWidth="1"/>
    <col min="13" max="13" width="8.7265625" style="27"/>
    <col min="14" max="14" width="21.36328125" style="1" bestFit="1" customWidth="1"/>
    <col min="15" max="15" width="13.90625" bestFit="1" customWidth="1"/>
    <col min="16" max="16" width="13.90625" style="27" bestFit="1" customWidth="1"/>
  </cols>
  <sheetData>
    <row r="1" spans="1:16" s="30" customForma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52</v>
      </c>
      <c r="K1" s="32" t="s">
        <v>53</v>
      </c>
      <c r="L1" s="31" t="s">
        <v>54</v>
      </c>
      <c r="M1" s="49" t="s">
        <v>55</v>
      </c>
      <c r="N1" s="31" t="s">
        <v>56</v>
      </c>
      <c r="O1" s="51" t="s">
        <v>57</v>
      </c>
      <c r="P1" s="32" t="s">
        <v>58</v>
      </c>
    </row>
    <row r="2" spans="1:16" x14ac:dyDescent="0.35">
      <c r="A2" s="2" t="s">
        <v>40</v>
      </c>
      <c r="B2" s="2" t="s">
        <v>41</v>
      </c>
      <c r="C2" s="2" t="s">
        <v>11</v>
      </c>
      <c r="D2" s="2" t="s">
        <v>12</v>
      </c>
      <c r="E2" s="2">
        <v>77</v>
      </c>
      <c r="F2" s="2">
        <v>93</v>
      </c>
      <c r="G2" s="2">
        <v>76</v>
      </c>
      <c r="H2" s="2">
        <v>0</v>
      </c>
      <c r="I2" s="2">
        <v>0</v>
      </c>
      <c r="J2" s="2">
        <f>ABS(F2-E2)</f>
        <v>16</v>
      </c>
      <c r="K2" s="29">
        <f>J2/E2</f>
        <v>0.20779220779220781</v>
      </c>
      <c r="L2" s="2">
        <f>ABS(G2-E2)</f>
        <v>1</v>
      </c>
      <c r="M2" s="50">
        <f>(L2/E2)</f>
        <v>1.2987012987012988E-2</v>
      </c>
      <c r="N2" s="2">
        <v>88</v>
      </c>
      <c r="O2" s="11">
        <f>ABS(N2-E2)</f>
        <v>11</v>
      </c>
      <c r="P2" s="29">
        <f>O2/E2</f>
        <v>0.14285714285714285</v>
      </c>
    </row>
    <row r="3" spans="1:16" x14ac:dyDescent="0.35">
      <c r="A3" s="2" t="s">
        <v>40</v>
      </c>
      <c r="B3" s="2" t="s">
        <v>41</v>
      </c>
      <c r="C3" s="2" t="s">
        <v>11</v>
      </c>
      <c r="D3" s="2" t="s">
        <v>13</v>
      </c>
      <c r="E3" s="2">
        <v>73</v>
      </c>
      <c r="F3" s="2">
        <v>86</v>
      </c>
      <c r="G3" s="2">
        <v>71</v>
      </c>
      <c r="H3" s="2">
        <v>0</v>
      </c>
      <c r="I3" s="2">
        <v>0</v>
      </c>
      <c r="J3" s="2">
        <f>ABS(F3-E3)</f>
        <v>13</v>
      </c>
      <c r="K3" s="29">
        <f>J3/E3</f>
        <v>0.17808219178082191</v>
      </c>
      <c r="L3" s="2">
        <f>ABS(G3-E3)</f>
        <v>2</v>
      </c>
      <c r="M3" s="50">
        <f>(L3/E3)</f>
        <v>2.7397260273972601E-2</v>
      </c>
      <c r="N3" s="2">
        <v>81</v>
      </c>
      <c r="O3" s="11">
        <f t="shared" ref="O3:O66" si="0">ABS(N3-E3)</f>
        <v>8</v>
      </c>
      <c r="P3" s="29">
        <f t="shared" ref="P3:P66" si="1">O3/E3</f>
        <v>0.1095890410958904</v>
      </c>
    </row>
    <row r="4" spans="1:16" x14ac:dyDescent="0.35">
      <c r="A4" s="2" t="s">
        <v>40</v>
      </c>
      <c r="B4" s="2" t="s">
        <v>41</v>
      </c>
      <c r="C4" s="2" t="s">
        <v>11</v>
      </c>
      <c r="D4" s="2" t="s">
        <v>14</v>
      </c>
      <c r="E4" s="2">
        <v>75</v>
      </c>
      <c r="F4" s="2">
        <v>86</v>
      </c>
      <c r="G4" s="2">
        <v>69</v>
      </c>
      <c r="H4" s="2">
        <v>1</v>
      </c>
      <c r="I4" s="2">
        <v>0</v>
      </c>
      <c r="J4" s="2">
        <f>ABS(F4-E4)</f>
        <v>11</v>
      </c>
      <c r="K4" s="29">
        <f>J4/E4</f>
        <v>0.14666666666666667</v>
      </c>
      <c r="L4" s="2">
        <f>ABS(G4-E4)</f>
        <v>6</v>
      </c>
      <c r="M4" s="50">
        <f>(L4/E4)</f>
        <v>0.08</v>
      </c>
      <c r="N4" s="2">
        <v>79</v>
      </c>
      <c r="O4" s="11">
        <f t="shared" si="0"/>
        <v>4</v>
      </c>
      <c r="P4" s="29">
        <f t="shared" si="1"/>
        <v>5.3333333333333337E-2</v>
      </c>
    </row>
    <row r="5" spans="1:16" x14ac:dyDescent="0.35">
      <c r="A5" s="2" t="s">
        <v>40</v>
      </c>
      <c r="B5" s="2" t="s">
        <v>41</v>
      </c>
      <c r="C5" s="2" t="s">
        <v>11</v>
      </c>
      <c r="D5" s="2" t="s">
        <v>15</v>
      </c>
      <c r="E5" s="2">
        <v>78</v>
      </c>
      <c r="F5" s="2">
        <v>87</v>
      </c>
      <c r="G5" s="2">
        <v>78</v>
      </c>
      <c r="H5" s="2">
        <v>0</v>
      </c>
      <c r="I5" s="2">
        <v>0</v>
      </c>
      <c r="J5" s="2">
        <f>ABS(F5-E5)</f>
        <v>9</v>
      </c>
      <c r="K5" s="29">
        <f>J5/E5</f>
        <v>0.11538461538461539</v>
      </c>
      <c r="L5" s="2">
        <f>ABS(G5-E5)</f>
        <v>0</v>
      </c>
      <c r="M5" s="50">
        <f>(L5/E5)</f>
        <v>0</v>
      </c>
      <c r="N5" s="2">
        <v>76</v>
      </c>
      <c r="O5" s="11">
        <f t="shared" si="0"/>
        <v>2</v>
      </c>
      <c r="P5" s="29">
        <f t="shared" si="1"/>
        <v>2.564102564102564E-2</v>
      </c>
    </row>
    <row r="6" spans="1:16" x14ac:dyDescent="0.35">
      <c r="A6" s="2" t="s">
        <v>40</v>
      </c>
      <c r="B6" s="2" t="s">
        <v>41</v>
      </c>
      <c r="C6" s="2" t="s">
        <v>11</v>
      </c>
      <c r="D6" s="2" t="s">
        <v>16</v>
      </c>
      <c r="E6" s="2">
        <v>67</v>
      </c>
      <c r="F6" s="2">
        <v>78</v>
      </c>
      <c r="G6" s="2">
        <v>69</v>
      </c>
      <c r="H6" s="2">
        <v>1</v>
      </c>
      <c r="I6" s="2">
        <v>0</v>
      </c>
      <c r="J6" s="2">
        <f>ABS(F6-E6)</f>
        <v>11</v>
      </c>
      <c r="K6" s="29">
        <f>J6/E6</f>
        <v>0.16417910447761194</v>
      </c>
      <c r="L6" s="2">
        <f>ABS(G6-E6)</f>
        <v>2</v>
      </c>
      <c r="M6" s="50">
        <f>(L6/E6)</f>
        <v>2.9850746268656716E-2</v>
      </c>
      <c r="N6" s="2">
        <v>71</v>
      </c>
      <c r="O6" s="11">
        <f t="shared" si="0"/>
        <v>4</v>
      </c>
      <c r="P6" s="29">
        <f t="shared" si="1"/>
        <v>5.9701492537313432E-2</v>
      </c>
    </row>
    <row r="7" spans="1:16" x14ac:dyDescent="0.35">
      <c r="A7" s="2" t="s">
        <v>40</v>
      </c>
      <c r="B7" s="2" t="s">
        <v>41</v>
      </c>
      <c r="C7" s="2" t="s">
        <v>11</v>
      </c>
      <c r="D7" s="2" t="s">
        <v>17</v>
      </c>
      <c r="E7" s="2">
        <v>31</v>
      </c>
      <c r="F7" s="2">
        <v>34</v>
      </c>
      <c r="G7" s="2">
        <v>31</v>
      </c>
      <c r="H7" s="2">
        <v>0</v>
      </c>
      <c r="I7" s="2">
        <v>1</v>
      </c>
      <c r="J7" s="2">
        <f>ABS(F7-E7)</f>
        <v>3</v>
      </c>
      <c r="K7" s="29">
        <f>J7/E7</f>
        <v>9.6774193548387094E-2</v>
      </c>
      <c r="L7" s="2">
        <f>ABS(G7-E7)</f>
        <v>0</v>
      </c>
      <c r="M7" s="50">
        <f>(L7/E7)</f>
        <v>0</v>
      </c>
      <c r="N7" s="2">
        <v>33</v>
      </c>
      <c r="O7" s="11">
        <f t="shared" si="0"/>
        <v>2</v>
      </c>
      <c r="P7" s="29">
        <f t="shared" si="1"/>
        <v>6.4516129032258063E-2</v>
      </c>
    </row>
    <row r="8" spans="1:16" x14ac:dyDescent="0.35">
      <c r="A8" s="2" t="s">
        <v>40</v>
      </c>
      <c r="B8" s="2" t="s">
        <v>41</v>
      </c>
      <c r="C8" s="2" t="s">
        <v>11</v>
      </c>
      <c r="D8" s="2" t="s">
        <v>18</v>
      </c>
      <c r="E8" s="2">
        <v>56</v>
      </c>
      <c r="F8" s="2">
        <v>60</v>
      </c>
      <c r="G8" s="2">
        <v>59</v>
      </c>
      <c r="H8" s="2">
        <v>0</v>
      </c>
      <c r="I8" s="2">
        <v>0</v>
      </c>
      <c r="J8" s="2">
        <f>ABS(F8-E8)</f>
        <v>4</v>
      </c>
      <c r="K8" s="29">
        <f>J8/E8</f>
        <v>7.1428571428571425E-2</v>
      </c>
      <c r="L8" s="2">
        <f>ABS(G8-E8)</f>
        <v>3</v>
      </c>
      <c r="M8" s="50">
        <f>(L8/E8)</f>
        <v>5.3571428571428568E-2</v>
      </c>
      <c r="N8" s="2">
        <v>58</v>
      </c>
      <c r="O8" s="11">
        <f t="shared" si="0"/>
        <v>2</v>
      </c>
      <c r="P8" s="29">
        <f t="shared" si="1"/>
        <v>3.5714285714285712E-2</v>
      </c>
    </row>
    <row r="9" spans="1:16" x14ac:dyDescent="0.35">
      <c r="A9" s="2" t="s">
        <v>40</v>
      </c>
      <c r="B9" s="2" t="s">
        <v>41</v>
      </c>
      <c r="C9" s="2" t="s">
        <v>11</v>
      </c>
      <c r="D9" s="2" t="s">
        <v>19</v>
      </c>
      <c r="E9" s="2">
        <v>43</v>
      </c>
      <c r="F9" s="2">
        <v>47</v>
      </c>
      <c r="G9" s="2">
        <v>43</v>
      </c>
      <c r="H9" s="2">
        <v>0</v>
      </c>
      <c r="I9" s="2">
        <v>0</v>
      </c>
      <c r="J9" s="2">
        <f>ABS(F9-E9)</f>
        <v>4</v>
      </c>
      <c r="K9" s="29">
        <f>J9/E9</f>
        <v>9.3023255813953487E-2</v>
      </c>
      <c r="L9" s="2">
        <f>ABS(G9-E9)</f>
        <v>0</v>
      </c>
      <c r="M9" s="50">
        <f>(L9/E9)</f>
        <v>0</v>
      </c>
      <c r="N9" s="2">
        <v>51</v>
      </c>
      <c r="O9" s="11">
        <f t="shared" si="0"/>
        <v>8</v>
      </c>
      <c r="P9" s="29">
        <f t="shared" si="1"/>
        <v>0.18604651162790697</v>
      </c>
    </row>
    <row r="10" spans="1:16" x14ac:dyDescent="0.35">
      <c r="A10" s="2" t="s">
        <v>40</v>
      </c>
      <c r="B10" s="2" t="s">
        <v>41</v>
      </c>
      <c r="C10" s="2" t="s">
        <v>11</v>
      </c>
      <c r="D10" s="2" t="s">
        <v>20</v>
      </c>
      <c r="E10" s="2">
        <v>57</v>
      </c>
      <c r="F10" s="2">
        <v>65</v>
      </c>
      <c r="G10" s="2">
        <v>55</v>
      </c>
      <c r="H10" s="2">
        <v>1</v>
      </c>
      <c r="I10" s="2">
        <v>0</v>
      </c>
      <c r="J10" s="2">
        <f>ABS(F10-E10)</f>
        <v>8</v>
      </c>
      <c r="K10" s="29">
        <f>J10/E10</f>
        <v>0.14035087719298245</v>
      </c>
      <c r="L10" s="2">
        <f>ABS(G10-E10)</f>
        <v>2</v>
      </c>
      <c r="M10" s="50">
        <f>(L10/E10)</f>
        <v>3.5087719298245612E-2</v>
      </c>
      <c r="N10" s="2">
        <v>58</v>
      </c>
      <c r="O10" s="11">
        <f t="shared" si="0"/>
        <v>1</v>
      </c>
      <c r="P10" s="29">
        <f t="shared" si="1"/>
        <v>1.7543859649122806E-2</v>
      </c>
    </row>
    <row r="11" spans="1:16" x14ac:dyDescent="0.35">
      <c r="A11" s="2" t="s">
        <v>40</v>
      </c>
      <c r="B11" s="2" t="s">
        <v>41</v>
      </c>
      <c r="C11" s="2" t="s">
        <v>11</v>
      </c>
      <c r="D11" s="2" t="s">
        <v>21</v>
      </c>
      <c r="E11" s="2">
        <v>30</v>
      </c>
      <c r="F11" s="2">
        <v>30</v>
      </c>
      <c r="G11" s="2">
        <v>26</v>
      </c>
      <c r="H11" s="2">
        <v>0</v>
      </c>
      <c r="I11" s="2">
        <v>1</v>
      </c>
      <c r="J11" s="2">
        <f>ABS(F11-E11)</f>
        <v>0</v>
      </c>
      <c r="K11" s="29">
        <f>J11/E11</f>
        <v>0</v>
      </c>
      <c r="L11" s="2">
        <f>ABS(G11-E11)</f>
        <v>4</v>
      </c>
      <c r="M11" s="50">
        <f>(L11/E11)</f>
        <v>0.13333333333333333</v>
      </c>
      <c r="N11" s="2">
        <v>33</v>
      </c>
      <c r="O11" s="11">
        <f t="shared" si="0"/>
        <v>3</v>
      </c>
      <c r="P11" s="29">
        <f t="shared" si="1"/>
        <v>0.1</v>
      </c>
    </row>
    <row r="12" spans="1:16" x14ac:dyDescent="0.35">
      <c r="A12" s="2" t="s">
        <v>40</v>
      </c>
      <c r="B12" s="2" t="s">
        <v>41</v>
      </c>
      <c r="C12" s="2" t="s">
        <v>11</v>
      </c>
      <c r="D12" s="2" t="s">
        <v>22</v>
      </c>
      <c r="E12" s="2">
        <v>50</v>
      </c>
      <c r="F12" s="2">
        <v>61</v>
      </c>
      <c r="G12" s="2">
        <v>50</v>
      </c>
      <c r="H12" s="2">
        <v>0</v>
      </c>
      <c r="I12" s="2">
        <v>0</v>
      </c>
      <c r="J12" s="2">
        <f>ABS(F12-E12)</f>
        <v>11</v>
      </c>
      <c r="K12" s="29">
        <f>J12/E12</f>
        <v>0.22</v>
      </c>
      <c r="L12" s="2">
        <f>ABS(G12-E12)</f>
        <v>0</v>
      </c>
      <c r="M12" s="50">
        <f>(L12/E12)</f>
        <v>0</v>
      </c>
      <c r="N12" s="2">
        <v>55</v>
      </c>
      <c r="O12" s="11">
        <f t="shared" si="0"/>
        <v>5</v>
      </c>
      <c r="P12" s="29">
        <f t="shared" si="1"/>
        <v>0.1</v>
      </c>
    </row>
    <row r="13" spans="1:16" x14ac:dyDescent="0.35">
      <c r="A13" s="2" t="s">
        <v>40</v>
      </c>
      <c r="B13" s="2" t="s">
        <v>41</v>
      </c>
      <c r="C13" s="2" t="s">
        <v>11</v>
      </c>
      <c r="D13" s="2" t="s">
        <v>23</v>
      </c>
      <c r="E13" s="2">
        <v>58</v>
      </c>
      <c r="F13" s="2">
        <v>70</v>
      </c>
      <c r="G13" s="2">
        <v>57</v>
      </c>
      <c r="H13" s="2">
        <v>0</v>
      </c>
      <c r="I13" s="2">
        <v>0</v>
      </c>
      <c r="J13" s="2">
        <f>ABS(F13-E13)</f>
        <v>12</v>
      </c>
      <c r="K13" s="29">
        <f>J13/E13</f>
        <v>0.20689655172413793</v>
      </c>
      <c r="L13" s="2">
        <f>ABS(G13-E13)</f>
        <v>1</v>
      </c>
      <c r="M13" s="50">
        <f>(L13/E13)</f>
        <v>1.7241379310344827E-2</v>
      </c>
      <c r="N13" s="2">
        <v>59</v>
      </c>
      <c r="O13" s="11">
        <f t="shared" si="0"/>
        <v>1</v>
      </c>
      <c r="P13" s="29">
        <f t="shared" si="1"/>
        <v>1.7241379310344827E-2</v>
      </c>
    </row>
    <row r="14" spans="1:16" x14ac:dyDescent="0.35">
      <c r="A14" s="2" t="s">
        <v>40</v>
      </c>
      <c r="B14" s="2" t="s">
        <v>41</v>
      </c>
      <c r="C14" s="2" t="s">
        <v>11</v>
      </c>
      <c r="D14" s="2" t="s">
        <v>24</v>
      </c>
      <c r="E14" s="2">
        <v>57</v>
      </c>
      <c r="F14" s="2">
        <v>61</v>
      </c>
      <c r="G14" s="2">
        <v>56</v>
      </c>
      <c r="H14" s="2">
        <v>0</v>
      </c>
      <c r="I14" s="2">
        <v>0</v>
      </c>
      <c r="J14" s="2">
        <f>ABS(F14-E14)</f>
        <v>4</v>
      </c>
      <c r="K14" s="29">
        <f>J14/E14</f>
        <v>7.0175438596491224E-2</v>
      </c>
      <c r="L14" s="2">
        <f>ABS(G14-E14)</f>
        <v>1</v>
      </c>
      <c r="M14" s="50">
        <f>(L14/E14)</f>
        <v>1.7543859649122806E-2</v>
      </c>
      <c r="N14" s="2">
        <v>61</v>
      </c>
      <c r="O14" s="11">
        <f t="shared" si="0"/>
        <v>4</v>
      </c>
      <c r="P14" s="29">
        <f t="shared" si="1"/>
        <v>7.0175438596491224E-2</v>
      </c>
    </row>
    <row r="15" spans="1:16" x14ac:dyDescent="0.35">
      <c r="A15" s="2" t="s">
        <v>40</v>
      </c>
      <c r="B15" s="2" t="s">
        <v>41</v>
      </c>
      <c r="C15" s="2" t="s">
        <v>11</v>
      </c>
      <c r="D15" s="2" t="s">
        <v>25</v>
      </c>
      <c r="E15" s="2">
        <v>74</v>
      </c>
      <c r="F15" s="2">
        <v>75</v>
      </c>
      <c r="G15" s="2">
        <v>79</v>
      </c>
      <c r="H15" s="2">
        <v>1</v>
      </c>
      <c r="I15" s="2">
        <v>0</v>
      </c>
      <c r="J15" s="2">
        <f>ABS(F15-E15)</f>
        <v>1</v>
      </c>
      <c r="K15" s="29">
        <f>J15/E15</f>
        <v>1.3513513513513514E-2</v>
      </c>
      <c r="L15" s="2">
        <f>ABS(G15-E15)</f>
        <v>5</v>
      </c>
      <c r="M15" s="50">
        <f>(L15/E15)</f>
        <v>6.7567567567567571E-2</v>
      </c>
      <c r="N15" s="2">
        <v>71</v>
      </c>
      <c r="O15" s="11">
        <f t="shared" si="0"/>
        <v>3</v>
      </c>
      <c r="P15" s="29">
        <f t="shared" si="1"/>
        <v>4.0540540540540543E-2</v>
      </c>
    </row>
    <row r="16" spans="1:16" x14ac:dyDescent="0.35">
      <c r="A16" s="2" t="s">
        <v>40</v>
      </c>
      <c r="B16" s="2" t="s">
        <v>41</v>
      </c>
      <c r="C16" s="2" t="s">
        <v>11</v>
      </c>
      <c r="D16" s="2" t="s">
        <v>26</v>
      </c>
      <c r="E16" s="2">
        <v>76</v>
      </c>
      <c r="F16" s="2">
        <v>90</v>
      </c>
      <c r="G16" s="2">
        <v>78</v>
      </c>
      <c r="H16" s="2">
        <v>1</v>
      </c>
      <c r="I16" s="2">
        <v>0</v>
      </c>
      <c r="J16" s="2">
        <f>ABS(F16-E16)</f>
        <v>14</v>
      </c>
      <c r="K16" s="29">
        <f>J16/E16</f>
        <v>0.18421052631578946</v>
      </c>
      <c r="L16" s="2">
        <f>ABS(G16-E16)</f>
        <v>2</v>
      </c>
      <c r="M16" s="50">
        <f>(L16/E16)</f>
        <v>2.6315789473684209E-2</v>
      </c>
      <c r="N16" s="2">
        <v>78</v>
      </c>
      <c r="O16" s="11">
        <f t="shared" si="0"/>
        <v>2</v>
      </c>
      <c r="P16" s="29">
        <f t="shared" si="1"/>
        <v>2.6315789473684209E-2</v>
      </c>
    </row>
    <row r="17" spans="1:16" x14ac:dyDescent="0.35">
      <c r="A17" s="2" t="s">
        <v>40</v>
      </c>
      <c r="B17" s="2" t="s">
        <v>41</v>
      </c>
      <c r="C17" s="2" t="s">
        <v>11</v>
      </c>
      <c r="D17" s="2" t="s">
        <v>27</v>
      </c>
      <c r="E17" s="2">
        <v>75</v>
      </c>
      <c r="F17" s="2">
        <v>87</v>
      </c>
      <c r="G17" s="2">
        <v>77</v>
      </c>
      <c r="H17" s="2">
        <v>1</v>
      </c>
      <c r="I17" s="2">
        <v>0</v>
      </c>
      <c r="J17" s="2">
        <f>ABS(F17-E17)</f>
        <v>12</v>
      </c>
      <c r="K17" s="29">
        <f>J17/E17</f>
        <v>0.16</v>
      </c>
      <c r="L17" s="2">
        <f>ABS(G17-E17)</f>
        <v>2</v>
      </c>
      <c r="M17" s="50">
        <f>(L17/E17)</f>
        <v>2.6666666666666668E-2</v>
      </c>
      <c r="N17" s="2">
        <v>78</v>
      </c>
      <c r="O17" s="11">
        <f t="shared" si="0"/>
        <v>3</v>
      </c>
      <c r="P17" s="29">
        <f t="shared" si="1"/>
        <v>0.04</v>
      </c>
    </row>
    <row r="18" spans="1:16" x14ac:dyDescent="0.35">
      <c r="A18" s="2" t="s">
        <v>40</v>
      </c>
      <c r="B18" s="2" t="s">
        <v>41</v>
      </c>
      <c r="C18" s="2" t="s">
        <v>11</v>
      </c>
      <c r="D18" s="2" t="s">
        <v>28</v>
      </c>
      <c r="E18" s="2">
        <v>63</v>
      </c>
      <c r="F18" s="2">
        <v>83</v>
      </c>
      <c r="G18" s="2">
        <v>62</v>
      </c>
      <c r="H18" s="2">
        <v>1</v>
      </c>
      <c r="I18" s="2">
        <v>0</v>
      </c>
      <c r="J18" s="2">
        <f>ABS(F18-E18)</f>
        <v>20</v>
      </c>
      <c r="K18" s="29">
        <f>J18/E18</f>
        <v>0.31746031746031744</v>
      </c>
      <c r="L18" s="2">
        <f>ABS(G18-E18)</f>
        <v>1</v>
      </c>
      <c r="M18" s="50">
        <f>(L18/E18)</f>
        <v>1.5873015873015872E-2</v>
      </c>
      <c r="N18" s="2">
        <v>71</v>
      </c>
      <c r="O18" s="11">
        <f t="shared" si="0"/>
        <v>8</v>
      </c>
      <c r="P18" s="29">
        <f t="shared" si="1"/>
        <v>0.12698412698412698</v>
      </c>
    </row>
    <row r="19" spans="1:16" x14ac:dyDescent="0.35">
      <c r="A19" s="2" t="s">
        <v>40</v>
      </c>
      <c r="B19" s="2" t="s">
        <v>41</v>
      </c>
      <c r="C19" s="2" t="s">
        <v>11</v>
      </c>
      <c r="D19" s="2" t="s">
        <v>29</v>
      </c>
      <c r="E19" s="2">
        <v>53</v>
      </c>
      <c r="F19" s="2">
        <v>65</v>
      </c>
      <c r="G19" s="2">
        <v>51</v>
      </c>
      <c r="H19" s="2">
        <v>0</v>
      </c>
      <c r="I19" s="2">
        <v>0</v>
      </c>
      <c r="J19" s="2">
        <f>ABS(F19-E19)</f>
        <v>12</v>
      </c>
      <c r="K19" s="29">
        <f>J19/E19</f>
        <v>0.22641509433962265</v>
      </c>
      <c r="L19" s="2">
        <f>ABS(G19-E19)</f>
        <v>2</v>
      </c>
      <c r="M19" s="50">
        <f>(L19/E19)</f>
        <v>3.7735849056603772E-2</v>
      </c>
      <c r="N19" s="2">
        <v>62</v>
      </c>
      <c r="O19" s="11">
        <f t="shared" si="0"/>
        <v>9</v>
      </c>
      <c r="P19" s="29">
        <f t="shared" si="1"/>
        <v>0.16981132075471697</v>
      </c>
    </row>
    <row r="20" spans="1:16" x14ac:dyDescent="0.35">
      <c r="A20" s="2" t="s">
        <v>40</v>
      </c>
      <c r="B20" s="2" t="s">
        <v>41</v>
      </c>
      <c r="C20" s="2" t="s">
        <v>11</v>
      </c>
      <c r="D20" s="2" t="s">
        <v>30</v>
      </c>
      <c r="E20" s="2">
        <v>53</v>
      </c>
      <c r="F20" s="2">
        <v>48</v>
      </c>
      <c r="G20" s="2">
        <v>48</v>
      </c>
      <c r="H20" s="2">
        <v>0</v>
      </c>
      <c r="I20" s="2">
        <v>0</v>
      </c>
      <c r="J20" s="2">
        <f>ABS(F20-E20)</f>
        <v>5</v>
      </c>
      <c r="K20" s="29">
        <f>J20/E20</f>
        <v>9.4339622641509441E-2</v>
      </c>
      <c r="L20" s="2">
        <f>ABS(G20-E20)</f>
        <v>5</v>
      </c>
      <c r="M20" s="50">
        <f>(L20/E20)</f>
        <v>9.4339622641509441E-2</v>
      </c>
      <c r="N20" s="2">
        <v>53</v>
      </c>
      <c r="O20" s="11">
        <f t="shared" si="0"/>
        <v>0</v>
      </c>
      <c r="P20" s="29">
        <f t="shared" si="1"/>
        <v>0</v>
      </c>
    </row>
    <row r="21" spans="1:16" x14ac:dyDescent="0.35">
      <c r="A21" s="2" t="s">
        <v>40</v>
      </c>
      <c r="B21" s="2" t="s">
        <v>41</v>
      </c>
      <c r="C21" s="2" t="s">
        <v>11</v>
      </c>
      <c r="D21" s="2" t="s">
        <v>31</v>
      </c>
      <c r="E21" s="2">
        <v>55</v>
      </c>
      <c r="F21" s="2">
        <v>57</v>
      </c>
      <c r="G21" s="2">
        <v>54</v>
      </c>
      <c r="H21" s="2">
        <v>0</v>
      </c>
      <c r="I21" s="2">
        <v>0</v>
      </c>
      <c r="J21" s="2">
        <f>ABS(F21-E21)</f>
        <v>2</v>
      </c>
      <c r="K21" s="29">
        <f>J21/E21</f>
        <v>3.6363636363636362E-2</v>
      </c>
      <c r="L21" s="2">
        <f>ABS(G21-E21)</f>
        <v>1</v>
      </c>
      <c r="M21" s="50">
        <f>(L21/E21)</f>
        <v>1.8181818181818181E-2</v>
      </c>
      <c r="N21" s="2">
        <v>56</v>
      </c>
      <c r="O21" s="11">
        <f t="shared" si="0"/>
        <v>1</v>
      </c>
      <c r="P21" s="29">
        <f t="shared" si="1"/>
        <v>1.8181818181818181E-2</v>
      </c>
    </row>
    <row r="22" spans="1:16" x14ac:dyDescent="0.35">
      <c r="A22" s="2" t="s">
        <v>40</v>
      </c>
      <c r="B22" s="2" t="s">
        <v>41</v>
      </c>
      <c r="C22" s="2" t="s">
        <v>11</v>
      </c>
      <c r="D22" s="2" t="s">
        <v>32</v>
      </c>
      <c r="E22" s="2">
        <v>24</v>
      </c>
      <c r="F22" s="2">
        <v>24</v>
      </c>
      <c r="G22" s="2">
        <v>25</v>
      </c>
      <c r="H22" s="2">
        <v>0</v>
      </c>
      <c r="I22" s="2">
        <v>1</v>
      </c>
      <c r="J22" s="2">
        <f>ABS(F22-E22)</f>
        <v>0</v>
      </c>
      <c r="K22" s="29">
        <f>J22/E22</f>
        <v>0</v>
      </c>
      <c r="L22" s="2">
        <f>ABS(G22-E22)</f>
        <v>1</v>
      </c>
      <c r="M22" s="50">
        <f>(L22/E22)</f>
        <v>4.1666666666666664E-2</v>
      </c>
      <c r="N22" s="2">
        <v>33</v>
      </c>
      <c r="O22" s="11">
        <f t="shared" si="0"/>
        <v>9</v>
      </c>
      <c r="P22" s="29">
        <f t="shared" si="1"/>
        <v>0.375</v>
      </c>
    </row>
    <row r="23" spans="1:16" x14ac:dyDescent="0.35">
      <c r="A23" s="2" t="s">
        <v>40</v>
      </c>
      <c r="B23" s="2" t="s">
        <v>41</v>
      </c>
      <c r="C23" s="2" t="s">
        <v>11</v>
      </c>
      <c r="D23" s="2" t="s">
        <v>33</v>
      </c>
      <c r="E23" s="2">
        <v>55</v>
      </c>
      <c r="F23" s="2">
        <v>64</v>
      </c>
      <c r="G23" s="2">
        <v>49</v>
      </c>
      <c r="H23" s="2">
        <v>0</v>
      </c>
      <c r="I23" s="2">
        <v>0</v>
      </c>
      <c r="J23" s="2">
        <f>ABS(F23-E23)</f>
        <v>9</v>
      </c>
      <c r="K23" s="29">
        <f>J23/E23</f>
        <v>0.16363636363636364</v>
      </c>
      <c r="L23" s="2">
        <f>ABS(G23-E23)</f>
        <v>6</v>
      </c>
      <c r="M23" s="50">
        <f>(L23/E23)</f>
        <v>0.10909090909090909</v>
      </c>
      <c r="N23" s="2">
        <v>58</v>
      </c>
      <c r="O23" s="11">
        <f t="shared" si="0"/>
        <v>3</v>
      </c>
      <c r="P23" s="29">
        <f t="shared" si="1"/>
        <v>5.4545454545454543E-2</v>
      </c>
    </row>
    <row r="24" spans="1:16" x14ac:dyDescent="0.35">
      <c r="A24" s="2" t="s">
        <v>40</v>
      </c>
      <c r="B24" s="2" t="s">
        <v>41</v>
      </c>
      <c r="C24" s="2" t="s">
        <v>11</v>
      </c>
      <c r="D24" s="2" t="s">
        <v>34</v>
      </c>
      <c r="E24" s="2">
        <v>50</v>
      </c>
      <c r="F24" s="2">
        <v>56</v>
      </c>
      <c r="G24" s="2">
        <v>54</v>
      </c>
      <c r="H24" s="2">
        <v>0</v>
      </c>
      <c r="I24" s="2">
        <v>0</v>
      </c>
      <c r="J24" s="2">
        <f>ABS(F24-E24)</f>
        <v>6</v>
      </c>
      <c r="K24" s="29">
        <f>J24/E24</f>
        <v>0.12</v>
      </c>
      <c r="L24" s="2">
        <f>ABS(G24-E24)</f>
        <v>4</v>
      </c>
      <c r="M24" s="50">
        <f>(L24/E24)</f>
        <v>0.08</v>
      </c>
      <c r="N24" s="2">
        <v>56</v>
      </c>
      <c r="O24" s="11">
        <f t="shared" si="0"/>
        <v>6</v>
      </c>
      <c r="P24" s="29">
        <f t="shared" si="1"/>
        <v>0.12</v>
      </c>
    </row>
    <row r="25" spans="1:16" x14ac:dyDescent="0.35">
      <c r="A25" s="2" t="s">
        <v>40</v>
      </c>
      <c r="B25" s="2" t="s">
        <v>41</v>
      </c>
      <c r="C25" s="2" t="s">
        <v>11</v>
      </c>
      <c r="D25" s="2" t="s">
        <v>35</v>
      </c>
      <c r="E25" s="2">
        <v>65</v>
      </c>
      <c r="F25" s="2">
        <v>83</v>
      </c>
      <c r="G25" s="2">
        <v>68</v>
      </c>
      <c r="H25" s="2">
        <v>1</v>
      </c>
      <c r="I25" s="2">
        <v>0</v>
      </c>
      <c r="J25" s="2">
        <f>ABS(F25-E25)</f>
        <v>18</v>
      </c>
      <c r="K25" s="29">
        <f>J25/E25</f>
        <v>0.27692307692307694</v>
      </c>
      <c r="L25" s="2">
        <f>ABS(G25-E25)</f>
        <v>3</v>
      </c>
      <c r="M25" s="50">
        <f>(L25/E25)</f>
        <v>4.6153846153846156E-2</v>
      </c>
      <c r="N25" s="2">
        <v>71</v>
      </c>
      <c r="O25" s="11">
        <f t="shared" si="0"/>
        <v>6</v>
      </c>
      <c r="P25" s="29">
        <f t="shared" si="1"/>
        <v>9.2307692307692313E-2</v>
      </c>
    </row>
    <row r="26" spans="1:16" x14ac:dyDescent="0.35">
      <c r="A26" s="2" t="s">
        <v>40</v>
      </c>
      <c r="B26" s="2" t="s">
        <v>41</v>
      </c>
      <c r="C26" s="2" t="s">
        <v>36</v>
      </c>
      <c r="D26" s="2" t="s">
        <v>12</v>
      </c>
      <c r="E26" s="2">
        <v>208</v>
      </c>
      <c r="F26" s="2">
        <v>220</v>
      </c>
      <c r="G26" s="2">
        <v>209</v>
      </c>
      <c r="H26" s="2">
        <v>0</v>
      </c>
      <c r="I26" s="2">
        <v>0</v>
      </c>
      <c r="J26" s="2">
        <f>ABS(F26-E26)</f>
        <v>12</v>
      </c>
      <c r="K26" s="29">
        <f>J26/E26</f>
        <v>5.7692307692307696E-2</v>
      </c>
      <c r="L26" s="2">
        <f>ABS(G26-E26)</f>
        <v>1</v>
      </c>
      <c r="M26" s="50">
        <f>(L26/E26)</f>
        <v>4.807692307692308E-3</v>
      </c>
      <c r="N26" s="2">
        <v>200</v>
      </c>
      <c r="O26" s="11">
        <f t="shared" si="0"/>
        <v>8</v>
      </c>
      <c r="P26" s="29">
        <f t="shared" si="1"/>
        <v>3.8461538461538464E-2</v>
      </c>
    </row>
    <row r="27" spans="1:16" x14ac:dyDescent="0.35">
      <c r="A27" s="2" t="s">
        <v>40</v>
      </c>
      <c r="B27" s="2" t="s">
        <v>41</v>
      </c>
      <c r="C27" s="2" t="s">
        <v>36</v>
      </c>
      <c r="D27" s="2" t="s">
        <v>13</v>
      </c>
      <c r="E27" s="2">
        <v>225</v>
      </c>
      <c r="F27" s="2">
        <v>290</v>
      </c>
      <c r="G27" s="2">
        <v>222</v>
      </c>
      <c r="H27" s="2">
        <v>1</v>
      </c>
      <c r="I27" s="2">
        <v>0</v>
      </c>
      <c r="J27" s="2">
        <f>ABS(F27-E27)</f>
        <v>65</v>
      </c>
      <c r="K27" s="29">
        <f>J27/E27</f>
        <v>0.28888888888888886</v>
      </c>
      <c r="L27" s="2">
        <f>ABS(G27-E27)</f>
        <v>3</v>
      </c>
      <c r="M27" s="50">
        <f>(L27/E27)</f>
        <v>1.3333333333333334E-2</v>
      </c>
      <c r="N27" s="2">
        <v>227</v>
      </c>
      <c r="O27" s="11">
        <f t="shared" si="0"/>
        <v>2</v>
      </c>
      <c r="P27" s="29">
        <f t="shared" si="1"/>
        <v>8.8888888888888889E-3</v>
      </c>
    </row>
    <row r="28" spans="1:16" x14ac:dyDescent="0.35">
      <c r="A28" s="2" t="s">
        <v>40</v>
      </c>
      <c r="B28" s="2" t="s">
        <v>41</v>
      </c>
      <c r="C28" s="2" t="s">
        <v>36</v>
      </c>
      <c r="D28" s="2" t="s">
        <v>14</v>
      </c>
      <c r="E28" s="2">
        <v>217</v>
      </c>
      <c r="F28" s="2">
        <v>266</v>
      </c>
      <c r="G28" s="2">
        <v>235</v>
      </c>
      <c r="H28" s="2">
        <v>0</v>
      </c>
      <c r="I28" s="2">
        <v>0</v>
      </c>
      <c r="J28" s="2">
        <f>ABS(F28-E28)</f>
        <v>49</v>
      </c>
      <c r="K28" s="29">
        <f>J28/E28</f>
        <v>0.22580645161290322</v>
      </c>
      <c r="L28" s="2">
        <f>ABS(G28-E28)</f>
        <v>18</v>
      </c>
      <c r="M28" s="50">
        <f>(L28/E28)</f>
        <v>8.294930875576037E-2</v>
      </c>
      <c r="N28" s="2">
        <v>227</v>
      </c>
      <c r="O28" s="11">
        <f t="shared" si="0"/>
        <v>10</v>
      </c>
      <c r="P28" s="29">
        <f t="shared" si="1"/>
        <v>4.6082949308755762E-2</v>
      </c>
    </row>
    <row r="29" spans="1:16" x14ac:dyDescent="0.35">
      <c r="A29" s="2" t="s">
        <v>40</v>
      </c>
      <c r="B29" s="2" t="s">
        <v>41</v>
      </c>
      <c r="C29" s="2" t="s">
        <v>36</v>
      </c>
      <c r="D29" s="2" t="s">
        <v>15</v>
      </c>
      <c r="E29" s="2">
        <v>204</v>
      </c>
      <c r="F29" s="2">
        <v>268</v>
      </c>
      <c r="G29" s="2">
        <v>199</v>
      </c>
      <c r="H29" s="2">
        <v>0</v>
      </c>
      <c r="I29" s="2">
        <v>0</v>
      </c>
      <c r="J29" s="2">
        <f>ABS(F29-E29)</f>
        <v>64</v>
      </c>
      <c r="K29" s="29">
        <f>J29/E29</f>
        <v>0.31372549019607843</v>
      </c>
      <c r="L29" s="2">
        <f>ABS(G29-E29)</f>
        <v>5</v>
      </c>
      <c r="M29" s="50">
        <f>(L29/E29)</f>
        <v>2.4509803921568627E-2</v>
      </c>
      <c r="N29" s="2">
        <v>219</v>
      </c>
      <c r="O29" s="11">
        <f t="shared" si="0"/>
        <v>15</v>
      </c>
      <c r="P29" s="29">
        <f t="shared" si="1"/>
        <v>7.3529411764705885E-2</v>
      </c>
    </row>
    <row r="30" spans="1:16" x14ac:dyDescent="0.35">
      <c r="A30" s="2" t="s">
        <v>40</v>
      </c>
      <c r="B30" s="2" t="s">
        <v>41</v>
      </c>
      <c r="C30" s="2" t="s">
        <v>36</v>
      </c>
      <c r="D30" s="2" t="s">
        <v>16</v>
      </c>
      <c r="E30" s="2">
        <v>212</v>
      </c>
      <c r="F30" s="2">
        <v>236</v>
      </c>
      <c r="G30" s="2">
        <v>206</v>
      </c>
      <c r="H30" s="2">
        <v>0</v>
      </c>
      <c r="I30" s="2">
        <v>0</v>
      </c>
      <c r="J30" s="2">
        <f>ABS(F30-E30)</f>
        <v>24</v>
      </c>
      <c r="K30" s="29">
        <f>J30/E30</f>
        <v>0.11320754716981132</v>
      </c>
      <c r="L30" s="2">
        <f>ABS(G30-E30)</f>
        <v>6</v>
      </c>
      <c r="M30" s="50">
        <f>(L30/E30)</f>
        <v>2.8301886792452831E-2</v>
      </c>
      <c r="N30" s="2">
        <v>202</v>
      </c>
      <c r="O30" s="11">
        <f t="shared" si="0"/>
        <v>10</v>
      </c>
      <c r="P30" s="29">
        <f t="shared" si="1"/>
        <v>4.716981132075472E-2</v>
      </c>
    </row>
    <row r="31" spans="1:16" x14ac:dyDescent="0.35">
      <c r="A31" s="2" t="s">
        <v>40</v>
      </c>
      <c r="B31" s="2" t="s">
        <v>41</v>
      </c>
      <c r="C31" s="2" t="s">
        <v>36</v>
      </c>
      <c r="D31" s="2" t="s">
        <v>17</v>
      </c>
      <c r="E31" s="2">
        <v>181</v>
      </c>
      <c r="F31" s="2">
        <v>171</v>
      </c>
      <c r="G31" s="2">
        <v>191</v>
      </c>
      <c r="H31" s="2">
        <v>0</v>
      </c>
      <c r="I31" s="2">
        <v>0</v>
      </c>
      <c r="J31" s="2">
        <f>ABS(F31-E31)</f>
        <v>10</v>
      </c>
      <c r="K31" s="29">
        <f>J31/E31</f>
        <v>5.5248618784530384E-2</v>
      </c>
      <c r="L31" s="2">
        <f>ABS(G31-E31)</f>
        <v>10</v>
      </c>
      <c r="M31" s="50">
        <f>(L31/E31)</f>
        <v>5.5248618784530384E-2</v>
      </c>
      <c r="N31" s="2">
        <v>173</v>
      </c>
      <c r="O31" s="11">
        <f t="shared" si="0"/>
        <v>8</v>
      </c>
      <c r="P31" s="29">
        <f t="shared" si="1"/>
        <v>4.4198895027624308E-2</v>
      </c>
    </row>
    <row r="32" spans="1:16" x14ac:dyDescent="0.35">
      <c r="A32" s="2" t="s">
        <v>40</v>
      </c>
      <c r="B32" s="2" t="s">
        <v>41</v>
      </c>
      <c r="C32" s="2" t="s">
        <v>36</v>
      </c>
      <c r="D32" s="2" t="s">
        <v>18</v>
      </c>
      <c r="E32" s="2">
        <v>161</v>
      </c>
      <c r="F32" s="2">
        <v>161</v>
      </c>
      <c r="G32" s="2">
        <v>157</v>
      </c>
      <c r="H32" s="2">
        <v>0</v>
      </c>
      <c r="I32" s="2">
        <v>0</v>
      </c>
      <c r="J32" s="2">
        <f>ABS(F32-E32)</f>
        <v>0</v>
      </c>
      <c r="K32" s="29">
        <f>J32/E32</f>
        <v>0</v>
      </c>
      <c r="L32" s="2">
        <f>ABS(G32-E32)</f>
        <v>4</v>
      </c>
      <c r="M32" s="50">
        <f>(L32/E32)</f>
        <v>2.4844720496894408E-2</v>
      </c>
      <c r="N32" s="2">
        <v>161</v>
      </c>
      <c r="O32" s="11">
        <f t="shared" si="0"/>
        <v>0</v>
      </c>
      <c r="P32" s="29">
        <f t="shared" si="1"/>
        <v>0</v>
      </c>
    </row>
    <row r="33" spans="1:16" x14ac:dyDescent="0.35">
      <c r="A33" s="2" t="s">
        <v>40</v>
      </c>
      <c r="B33" s="2" t="s">
        <v>41</v>
      </c>
      <c r="C33" s="2" t="s">
        <v>36</v>
      </c>
      <c r="D33" s="2" t="s">
        <v>19</v>
      </c>
      <c r="E33" s="2">
        <v>129</v>
      </c>
      <c r="F33" s="2">
        <v>153</v>
      </c>
      <c r="G33" s="2">
        <v>127</v>
      </c>
      <c r="H33" s="2">
        <v>0</v>
      </c>
      <c r="I33" s="2">
        <v>0</v>
      </c>
      <c r="J33" s="2">
        <f>ABS(F33-E33)</f>
        <v>24</v>
      </c>
      <c r="K33" s="29">
        <f>J33/E33</f>
        <v>0.18604651162790697</v>
      </c>
      <c r="L33" s="2">
        <f>ABS(G33-E33)</f>
        <v>2</v>
      </c>
      <c r="M33" s="50">
        <f>(L33/E33)</f>
        <v>1.5503875968992248E-2</v>
      </c>
      <c r="N33" s="2">
        <v>144</v>
      </c>
      <c r="O33" s="11">
        <f t="shared" si="0"/>
        <v>15</v>
      </c>
      <c r="P33" s="29">
        <f t="shared" si="1"/>
        <v>0.11627906976744186</v>
      </c>
    </row>
    <row r="34" spans="1:16" x14ac:dyDescent="0.35">
      <c r="A34" s="2" t="s">
        <v>40</v>
      </c>
      <c r="B34" s="2" t="s">
        <v>41</v>
      </c>
      <c r="C34" s="2" t="s">
        <v>36</v>
      </c>
      <c r="D34" s="2" t="s">
        <v>20</v>
      </c>
      <c r="E34" s="2">
        <v>146</v>
      </c>
      <c r="F34" s="2">
        <v>180</v>
      </c>
      <c r="G34" s="2">
        <v>152</v>
      </c>
      <c r="H34" s="2">
        <v>0</v>
      </c>
      <c r="I34" s="2">
        <v>0</v>
      </c>
      <c r="J34" s="2">
        <f>ABS(F34-E34)</f>
        <v>34</v>
      </c>
      <c r="K34" s="29">
        <f>J34/E34</f>
        <v>0.23287671232876711</v>
      </c>
      <c r="L34" s="2">
        <f>ABS(G34-E34)</f>
        <v>6</v>
      </c>
      <c r="M34" s="50">
        <f>(L34/E34)</f>
        <v>4.1095890410958902E-2</v>
      </c>
      <c r="N34" s="2">
        <v>157</v>
      </c>
      <c r="O34" s="11">
        <f t="shared" si="0"/>
        <v>11</v>
      </c>
      <c r="P34" s="29">
        <f t="shared" si="1"/>
        <v>7.5342465753424653E-2</v>
      </c>
    </row>
    <row r="35" spans="1:16" x14ac:dyDescent="0.35">
      <c r="A35" s="2" t="s">
        <v>40</v>
      </c>
      <c r="B35" s="2" t="s">
        <v>41</v>
      </c>
      <c r="C35" s="2" t="s">
        <v>36</v>
      </c>
      <c r="D35" s="2" t="s">
        <v>21</v>
      </c>
      <c r="E35" s="2">
        <v>195</v>
      </c>
      <c r="F35" s="2">
        <v>240</v>
      </c>
      <c r="G35" s="2">
        <v>179</v>
      </c>
      <c r="H35" s="2">
        <v>0</v>
      </c>
      <c r="I35" s="2">
        <v>0</v>
      </c>
      <c r="J35" s="2">
        <f>ABS(F35-E35)</f>
        <v>45</v>
      </c>
      <c r="K35" s="29">
        <f>J35/E35</f>
        <v>0.23076923076923078</v>
      </c>
      <c r="L35" s="2">
        <f>ABS(G35-E35)</f>
        <v>16</v>
      </c>
      <c r="M35" s="50">
        <f>(L35/E35)</f>
        <v>8.2051282051282051E-2</v>
      </c>
      <c r="N35" s="2">
        <v>191</v>
      </c>
      <c r="O35" s="11">
        <f t="shared" si="0"/>
        <v>4</v>
      </c>
      <c r="P35" s="29">
        <f t="shared" si="1"/>
        <v>2.0512820512820513E-2</v>
      </c>
    </row>
    <row r="36" spans="1:16" x14ac:dyDescent="0.35">
      <c r="A36" s="2" t="s">
        <v>40</v>
      </c>
      <c r="B36" s="2" t="s">
        <v>41</v>
      </c>
      <c r="C36" s="2" t="s">
        <v>36</v>
      </c>
      <c r="D36" s="2" t="s">
        <v>22</v>
      </c>
      <c r="E36" s="2">
        <v>150</v>
      </c>
      <c r="F36" s="2">
        <v>141</v>
      </c>
      <c r="G36" s="2">
        <v>144</v>
      </c>
      <c r="H36" s="2">
        <v>0</v>
      </c>
      <c r="I36" s="2">
        <v>0</v>
      </c>
      <c r="J36" s="2">
        <f>ABS(F36-E36)</f>
        <v>9</v>
      </c>
      <c r="K36" s="29">
        <f>J36/E36</f>
        <v>0.06</v>
      </c>
      <c r="L36" s="2">
        <f>ABS(G36-E36)</f>
        <v>6</v>
      </c>
      <c r="M36" s="50">
        <f>(L36/E36)</f>
        <v>0.04</v>
      </c>
      <c r="N36" s="2">
        <v>146</v>
      </c>
      <c r="O36" s="11">
        <f t="shared" si="0"/>
        <v>4</v>
      </c>
      <c r="P36" s="29">
        <f t="shared" si="1"/>
        <v>2.6666666666666668E-2</v>
      </c>
    </row>
    <row r="37" spans="1:16" x14ac:dyDescent="0.35">
      <c r="A37" s="2" t="s">
        <v>40</v>
      </c>
      <c r="B37" s="2" t="s">
        <v>41</v>
      </c>
      <c r="C37" s="2" t="s">
        <v>36</v>
      </c>
      <c r="D37" s="2" t="s">
        <v>23</v>
      </c>
      <c r="E37" s="2">
        <v>141</v>
      </c>
      <c r="F37" s="2">
        <v>145</v>
      </c>
      <c r="G37" s="2">
        <v>150</v>
      </c>
      <c r="H37" s="2">
        <v>1</v>
      </c>
      <c r="I37" s="2">
        <v>0</v>
      </c>
      <c r="J37" s="2">
        <f>ABS(F37-E37)</f>
        <v>4</v>
      </c>
      <c r="K37" s="29">
        <f>J37/E37</f>
        <v>2.8368794326241134E-2</v>
      </c>
      <c r="L37" s="2">
        <f>ABS(G37-E37)</f>
        <v>9</v>
      </c>
      <c r="M37" s="50">
        <f>(L37/E37)</f>
        <v>6.3829787234042548E-2</v>
      </c>
      <c r="N37" s="2">
        <v>148</v>
      </c>
      <c r="O37" s="11">
        <f t="shared" si="0"/>
        <v>7</v>
      </c>
      <c r="P37" s="29">
        <f t="shared" si="1"/>
        <v>4.9645390070921988E-2</v>
      </c>
    </row>
    <row r="38" spans="1:16" x14ac:dyDescent="0.35">
      <c r="A38" s="2" t="s">
        <v>40</v>
      </c>
      <c r="B38" s="2" t="s">
        <v>41</v>
      </c>
      <c r="C38" s="2" t="s">
        <v>36</v>
      </c>
      <c r="D38" s="2" t="s">
        <v>24</v>
      </c>
      <c r="E38" s="2">
        <v>205</v>
      </c>
      <c r="F38" s="2">
        <v>173</v>
      </c>
      <c r="G38" s="2">
        <v>197</v>
      </c>
      <c r="H38" s="2">
        <v>0</v>
      </c>
      <c r="I38" s="2">
        <v>0</v>
      </c>
      <c r="J38" s="2">
        <f>ABS(F38-E38)</f>
        <v>32</v>
      </c>
      <c r="K38" s="29">
        <f>J38/E38</f>
        <v>0.15609756097560976</v>
      </c>
      <c r="L38" s="2">
        <f>ABS(G38-E38)</f>
        <v>8</v>
      </c>
      <c r="M38" s="50">
        <f>(L38/E38)</f>
        <v>3.9024390243902439E-2</v>
      </c>
      <c r="N38" s="2">
        <v>181</v>
      </c>
      <c r="O38" s="11">
        <f t="shared" si="0"/>
        <v>24</v>
      </c>
      <c r="P38" s="29">
        <f t="shared" si="1"/>
        <v>0.11707317073170732</v>
      </c>
    </row>
    <row r="39" spans="1:16" x14ac:dyDescent="0.35">
      <c r="A39" s="2" t="s">
        <v>40</v>
      </c>
      <c r="B39" s="2" t="s">
        <v>41</v>
      </c>
      <c r="C39" s="2" t="s">
        <v>36</v>
      </c>
      <c r="D39" s="2" t="s">
        <v>25</v>
      </c>
      <c r="E39" s="2">
        <v>211</v>
      </c>
      <c r="F39" s="2">
        <v>261</v>
      </c>
      <c r="G39" s="2">
        <v>193</v>
      </c>
      <c r="H39" s="2">
        <v>0</v>
      </c>
      <c r="I39" s="2">
        <v>0</v>
      </c>
      <c r="J39" s="2">
        <f>ABS(F39-E39)</f>
        <v>50</v>
      </c>
      <c r="K39" s="29">
        <f>J39/E39</f>
        <v>0.23696682464454977</v>
      </c>
      <c r="L39" s="2">
        <f>ABS(G39-E39)</f>
        <v>18</v>
      </c>
      <c r="M39" s="50">
        <f>(L39/E39)</f>
        <v>8.5308056872037921E-2</v>
      </c>
      <c r="N39" s="2">
        <v>221</v>
      </c>
      <c r="O39" s="11">
        <f t="shared" si="0"/>
        <v>10</v>
      </c>
      <c r="P39" s="29">
        <f t="shared" si="1"/>
        <v>4.7393364928909949E-2</v>
      </c>
    </row>
    <row r="40" spans="1:16" x14ac:dyDescent="0.35">
      <c r="A40" s="2" t="s">
        <v>40</v>
      </c>
      <c r="B40" s="2" t="s">
        <v>41</v>
      </c>
      <c r="C40" s="2" t="s">
        <v>36</v>
      </c>
      <c r="D40" s="2" t="s">
        <v>26</v>
      </c>
      <c r="E40" s="2">
        <v>225</v>
      </c>
      <c r="F40" s="2">
        <v>226</v>
      </c>
      <c r="G40" s="2">
        <v>215</v>
      </c>
      <c r="H40" s="2">
        <v>0</v>
      </c>
      <c r="I40" s="2">
        <v>0</v>
      </c>
      <c r="J40" s="2">
        <f>ABS(F40-E40)</f>
        <v>1</v>
      </c>
      <c r="K40" s="29">
        <f>J40/E40</f>
        <v>4.4444444444444444E-3</v>
      </c>
      <c r="L40" s="2">
        <f>ABS(G40-E40)</f>
        <v>10</v>
      </c>
      <c r="M40" s="50">
        <f>(L40/E40)</f>
        <v>4.4444444444444446E-2</v>
      </c>
      <c r="N40" s="2">
        <v>209</v>
      </c>
      <c r="O40" s="11">
        <f t="shared" si="0"/>
        <v>16</v>
      </c>
      <c r="P40" s="29">
        <f t="shared" si="1"/>
        <v>7.1111111111111111E-2</v>
      </c>
    </row>
    <row r="41" spans="1:16" x14ac:dyDescent="0.35">
      <c r="A41" s="2" t="s">
        <v>40</v>
      </c>
      <c r="B41" s="2" t="s">
        <v>41</v>
      </c>
      <c r="C41" s="2" t="s">
        <v>36</v>
      </c>
      <c r="D41" s="2" t="s">
        <v>27</v>
      </c>
      <c r="E41" s="2">
        <v>179</v>
      </c>
      <c r="F41" s="2">
        <v>223</v>
      </c>
      <c r="G41" s="2">
        <v>192</v>
      </c>
      <c r="H41" s="2">
        <v>1</v>
      </c>
      <c r="I41" s="2">
        <v>0</v>
      </c>
      <c r="J41" s="2">
        <f>ABS(F41-E41)</f>
        <v>44</v>
      </c>
      <c r="K41" s="29">
        <f>J41/E41</f>
        <v>0.24581005586592178</v>
      </c>
      <c r="L41" s="2">
        <f>ABS(G41-E41)</f>
        <v>13</v>
      </c>
      <c r="M41" s="50">
        <f>(L41/E41)</f>
        <v>7.2625698324022353E-2</v>
      </c>
      <c r="N41" s="2">
        <v>198</v>
      </c>
      <c r="O41" s="11">
        <f t="shared" si="0"/>
        <v>19</v>
      </c>
      <c r="P41" s="29">
        <f t="shared" si="1"/>
        <v>0.10614525139664804</v>
      </c>
    </row>
    <row r="42" spans="1:16" x14ac:dyDescent="0.35">
      <c r="A42" s="2" t="s">
        <v>40</v>
      </c>
      <c r="B42" s="2" t="s">
        <v>41</v>
      </c>
      <c r="C42" s="2" t="s">
        <v>36</v>
      </c>
      <c r="D42" s="2" t="s">
        <v>28</v>
      </c>
      <c r="E42" s="2">
        <v>210</v>
      </c>
      <c r="F42" s="2">
        <v>220</v>
      </c>
      <c r="G42" s="2">
        <v>189</v>
      </c>
      <c r="H42" s="2">
        <v>0</v>
      </c>
      <c r="I42" s="2">
        <v>0</v>
      </c>
      <c r="J42" s="2">
        <f>ABS(F42-E42)</f>
        <v>10</v>
      </c>
      <c r="K42" s="29">
        <f>J42/E42</f>
        <v>4.7619047619047616E-2</v>
      </c>
      <c r="L42" s="2">
        <f>ABS(G42-E42)</f>
        <v>21</v>
      </c>
      <c r="M42" s="50">
        <f>(L42/E42)</f>
        <v>0.1</v>
      </c>
      <c r="N42" s="2">
        <v>195</v>
      </c>
      <c r="O42" s="11">
        <f t="shared" si="0"/>
        <v>15</v>
      </c>
      <c r="P42" s="29">
        <f t="shared" si="1"/>
        <v>7.1428571428571425E-2</v>
      </c>
    </row>
    <row r="43" spans="1:16" x14ac:dyDescent="0.35">
      <c r="A43" s="2" t="s">
        <v>40</v>
      </c>
      <c r="B43" s="2" t="s">
        <v>41</v>
      </c>
      <c r="C43" s="2" t="s">
        <v>36</v>
      </c>
      <c r="D43" s="2" t="s">
        <v>29</v>
      </c>
      <c r="E43" s="2">
        <v>170</v>
      </c>
      <c r="F43" s="2">
        <v>180</v>
      </c>
      <c r="G43" s="2">
        <v>160</v>
      </c>
      <c r="H43" s="2">
        <v>0</v>
      </c>
      <c r="I43" s="2">
        <v>0</v>
      </c>
      <c r="J43" s="2">
        <f>ABS(F43-E43)</f>
        <v>10</v>
      </c>
      <c r="K43" s="29">
        <f>J43/E43</f>
        <v>5.8823529411764705E-2</v>
      </c>
      <c r="L43" s="2">
        <f>ABS(G43-E43)</f>
        <v>10</v>
      </c>
      <c r="M43" s="50">
        <f>(L43/E43)</f>
        <v>5.8823529411764705E-2</v>
      </c>
      <c r="N43" s="2">
        <v>167</v>
      </c>
      <c r="O43" s="11">
        <f t="shared" si="0"/>
        <v>3</v>
      </c>
      <c r="P43" s="29">
        <f t="shared" si="1"/>
        <v>1.7647058823529412E-2</v>
      </c>
    </row>
    <row r="44" spans="1:16" x14ac:dyDescent="0.35">
      <c r="A44" s="2" t="s">
        <v>40</v>
      </c>
      <c r="B44" s="2" t="s">
        <v>41</v>
      </c>
      <c r="C44" s="2" t="s">
        <v>36</v>
      </c>
      <c r="D44" s="2" t="s">
        <v>30</v>
      </c>
      <c r="E44" s="2">
        <v>76</v>
      </c>
      <c r="F44" s="2">
        <v>72</v>
      </c>
      <c r="G44" s="2">
        <v>81</v>
      </c>
      <c r="H44" s="2">
        <v>0</v>
      </c>
      <c r="I44" s="2">
        <v>1</v>
      </c>
      <c r="J44" s="2">
        <f>ABS(F44-E44)</f>
        <v>4</v>
      </c>
      <c r="K44" s="29">
        <f>J44/E44</f>
        <v>5.2631578947368418E-2</v>
      </c>
      <c r="L44" s="2">
        <f>ABS(G44-E44)</f>
        <v>5</v>
      </c>
      <c r="M44" s="50">
        <f>(L44/E44)</f>
        <v>6.5789473684210523E-2</v>
      </c>
      <c r="N44" s="2">
        <v>71</v>
      </c>
      <c r="O44" s="11">
        <f t="shared" si="0"/>
        <v>5</v>
      </c>
      <c r="P44" s="29">
        <f t="shared" si="1"/>
        <v>6.5789473684210523E-2</v>
      </c>
    </row>
    <row r="45" spans="1:16" x14ac:dyDescent="0.35">
      <c r="A45" s="2" t="s">
        <v>40</v>
      </c>
      <c r="B45" s="2" t="s">
        <v>41</v>
      </c>
      <c r="C45" s="2" t="s">
        <v>36</v>
      </c>
      <c r="D45" s="2" t="s">
        <v>31</v>
      </c>
      <c r="E45" s="2">
        <v>127</v>
      </c>
      <c r="F45" s="2">
        <v>145</v>
      </c>
      <c r="G45" s="2">
        <v>133</v>
      </c>
      <c r="H45" s="2">
        <v>0</v>
      </c>
      <c r="I45" s="2">
        <v>0</v>
      </c>
      <c r="J45" s="2">
        <f>ABS(F45-E45)</f>
        <v>18</v>
      </c>
      <c r="K45" s="29">
        <f>J45/E45</f>
        <v>0.14173228346456693</v>
      </c>
      <c r="L45" s="2">
        <f>ABS(G45-E45)</f>
        <v>6</v>
      </c>
      <c r="M45" s="50">
        <f>(L45/E45)</f>
        <v>4.7244094488188976E-2</v>
      </c>
      <c r="N45" s="2">
        <v>131</v>
      </c>
      <c r="O45" s="11">
        <f t="shared" si="0"/>
        <v>4</v>
      </c>
      <c r="P45" s="29">
        <f t="shared" si="1"/>
        <v>3.1496062992125984E-2</v>
      </c>
    </row>
    <row r="46" spans="1:16" x14ac:dyDescent="0.35">
      <c r="A46" s="2" t="s">
        <v>40</v>
      </c>
      <c r="B46" s="2" t="s">
        <v>41</v>
      </c>
      <c r="C46" s="2" t="s">
        <v>36</v>
      </c>
      <c r="D46" s="2" t="s">
        <v>32</v>
      </c>
      <c r="E46" s="2">
        <v>169</v>
      </c>
      <c r="F46" s="2">
        <v>221</v>
      </c>
      <c r="G46" s="2">
        <v>166</v>
      </c>
      <c r="H46" s="2">
        <v>0</v>
      </c>
      <c r="I46" s="2">
        <v>0</v>
      </c>
      <c r="J46" s="2">
        <f>ABS(F46-E46)</f>
        <v>52</v>
      </c>
      <c r="K46" s="29">
        <f>J46/E46</f>
        <v>0.30769230769230771</v>
      </c>
      <c r="L46" s="2">
        <f>ABS(G46-E46)</f>
        <v>3</v>
      </c>
      <c r="M46" s="50">
        <f>(L46/E46)</f>
        <v>1.7751479289940829E-2</v>
      </c>
      <c r="N46" s="2">
        <v>180</v>
      </c>
      <c r="O46" s="11">
        <f t="shared" si="0"/>
        <v>11</v>
      </c>
      <c r="P46" s="29">
        <f t="shared" si="1"/>
        <v>6.5088757396449703E-2</v>
      </c>
    </row>
    <row r="47" spans="1:16" x14ac:dyDescent="0.35">
      <c r="A47" s="2" t="s">
        <v>40</v>
      </c>
      <c r="B47" s="2" t="s">
        <v>41</v>
      </c>
      <c r="C47" s="2" t="s">
        <v>36</v>
      </c>
      <c r="D47" s="2" t="s">
        <v>33</v>
      </c>
      <c r="E47" s="2">
        <v>144</v>
      </c>
      <c r="F47" s="2">
        <v>146</v>
      </c>
      <c r="G47" s="2">
        <v>140</v>
      </c>
      <c r="H47" s="2">
        <v>0</v>
      </c>
      <c r="I47" s="2">
        <v>0</v>
      </c>
      <c r="J47" s="2">
        <f>ABS(F47-E47)</f>
        <v>2</v>
      </c>
      <c r="K47" s="29">
        <f>J47/E47</f>
        <v>1.3888888888888888E-2</v>
      </c>
      <c r="L47" s="2">
        <f>ABS(G47-E47)</f>
        <v>4</v>
      </c>
      <c r="M47" s="50">
        <f>(L47/E47)</f>
        <v>2.7777777777777776E-2</v>
      </c>
      <c r="N47" s="2">
        <v>141</v>
      </c>
      <c r="O47" s="11">
        <f t="shared" si="0"/>
        <v>3</v>
      </c>
      <c r="P47" s="29">
        <f t="shared" si="1"/>
        <v>2.0833333333333332E-2</v>
      </c>
    </row>
    <row r="48" spans="1:16" x14ac:dyDescent="0.35">
      <c r="A48" s="2" t="s">
        <v>40</v>
      </c>
      <c r="B48" s="2" t="s">
        <v>41</v>
      </c>
      <c r="C48" s="2" t="s">
        <v>36</v>
      </c>
      <c r="D48" s="2" t="s">
        <v>34</v>
      </c>
      <c r="E48" s="2">
        <v>192</v>
      </c>
      <c r="F48" s="2">
        <v>221</v>
      </c>
      <c r="G48" s="2">
        <v>187</v>
      </c>
      <c r="H48" s="2">
        <v>0</v>
      </c>
      <c r="I48" s="2">
        <v>0</v>
      </c>
      <c r="J48" s="2">
        <f>ABS(F48-E48)</f>
        <v>29</v>
      </c>
      <c r="K48" s="29">
        <f>J48/E48</f>
        <v>0.15104166666666666</v>
      </c>
      <c r="L48" s="2">
        <f>ABS(G48-E48)</f>
        <v>5</v>
      </c>
      <c r="M48" s="50">
        <f>(L48/E48)</f>
        <v>2.6041666666666668E-2</v>
      </c>
      <c r="N48" s="2">
        <v>189</v>
      </c>
      <c r="O48" s="11">
        <f t="shared" si="0"/>
        <v>3</v>
      </c>
      <c r="P48" s="29">
        <f t="shared" si="1"/>
        <v>1.5625E-2</v>
      </c>
    </row>
    <row r="49" spans="1:16" x14ac:dyDescent="0.35">
      <c r="A49" s="2" t="s">
        <v>40</v>
      </c>
      <c r="B49" s="2" t="s">
        <v>41</v>
      </c>
      <c r="C49" s="2" t="s">
        <v>36</v>
      </c>
      <c r="D49" s="2" t="s">
        <v>35</v>
      </c>
      <c r="E49" s="2">
        <v>138</v>
      </c>
      <c r="F49" s="2">
        <v>127</v>
      </c>
      <c r="G49" s="2">
        <v>141</v>
      </c>
      <c r="H49" s="2">
        <v>0</v>
      </c>
      <c r="I49" s="2">
        <v>0</v>
      </c>
      <c r="J49" s="2">
        <f>ABS(F49-E49)</f>
        <v>11</v>
      </c>
      <c r="K49" s="29">
        <f>J49/E49</f>
        <v>7.9710144927536225E-2</v>
      </c>
      <c r="L49" s="2">
        <f>ABS(G49-E49)</f>
        <v>3</v>
      </c>
      <c r="M49" s="50">
        <f>(L49/E49)</f>
        <v>2.1739130434782608E-2</v>
      </c>
      <c r="N49" s="2">
        <v>136</v>
      </c>
      <c r="O49" s="11">
        <f t="shared" si="0"/>
        <v>2</v>
      </c>
      <c r="P49" s="29">
        <f t="shared" si="1"/>
        <v>1.4492753623188406E-2</v>
      </c>
    </row>
    <row r="50" spans="1:16" x14ac:dyDescent="0.35">
      <c r="A50" s="2" t="s">
        <v>40</v>
      </c>
      <c r="B50" s="2" t="s">
        <v>41</v>
      </c>
      <c r="C50" s="2" t="s">
        <v>37</v>
      </c>
      <c r="D50" s="2" t="s">
        <v>12</v>
      </c>
      <c r="E50" s="2">
        <v>86</v>
      </c>
      <c r="F50" s="2">
        <v>86</v>
      </c>
      <c r="G50" s="2">
        <v>87</v>
      </c>
      <c r="H50" s="2">
        <v>0</v>
      </c>
      <c r="I50" s="2">
        <v>0</v>
      </c>
      <c r="J50" s="2">
        <f>ABS(F50-E50)</f>
        <v>0</v>
      </c>
      <c r="K50" s="29">
        <f>J50/E50</f>
        <v>0</v>
      </c>
      <c r="L50" s="2">
        <f>ABS(G50-E50)</f>
        <v>1</v>
      </c>
      <c r="M50" s="50">
        <f>(L50/E50)</f>
        <v>1.1627906976744186E-2</v>
      </c>
      <c r="N50" s="2">
        <v>88</v>
      </c>
      <c r="O50" s="11">
        <f t="shared" si="0"/>
        <v>2</v>
      </c>
      <c r="P50" s="29">
        <f t="shared" si="1"/>
        <v>2.3255813953488372E-2</v>
      </c>
    </row>
    <row r="51" spans="1:16" x14ac:dyDescent="0.35">
      <c r="A51" s="2" t="s">
        <v>40</v>
      </c>
      <c r="B51" s="2" t="s">
        <v>41</v>
      </c>
      <c r="C51" s="2" t="s">
        <v>37</v>
      </c>
      <c r="D51" s="2" t="s">
        <v>13</v>
      </c>
      <c r="E51" s="2">
        <v>95</v>
      </c>
      <c r="F51" s="2">
        <v>94</v>
      </c>
      <c r="G51" s="2">
        <v>90</v>
      </c>
      <c r="H51" s="2">
        <v>0</v>
      </c>
      <c r="I51" s="2">
        <v>0</v>
      </c>
      <c r="J51" s="2">
        <f>ABS(F51-E51)</f>
        <v>1</v>
      </c>
      <c r="K51" s="29">
        <f>J51/E51</f>
        <v>1.0526315789473684E-2</v>
      </c>
      <c r="L51" s="2">
        <f>ABS(G51-E51)</f>
        <v>5</v>
      </c>
      <c r="M51" s="50">
        <f>(L51/E51)</f>
        <v>5.2631578947368418E-2</v>
      </c>
      <c r="N51" s="2">
        <v>95</v>
      </c>
      <c r="O51" s="11">
        <f t="shared" si="0"/>
        <v>0</v>
      </c>
      <c r="P51" s="29">
        <f t="shared" si="1"/>
        <v>0</v>
      </c>
    </row>
    <row r="52" spans="1:16" x14ac:dyDescent="0.35">
      <c r="A52" s="2" t="s">
        <v>40</v>
      </c>
      <c r="B52" s="2" t="s">
        <v>41</v>
      </c>
      <c r="C52" s="2" t="s">
        <v>37</v>
      </c>
      <c r="D52" s="2" t="s">
        <v>14</v>
      </c>
      <c r="E52" s="2">
        <v>52</v>
      </c>
      <c r="F52" s="2">
        <v>59</v>
      </c>
      <c r="G52" s="2">
        <v>54</v>
      </c>
      <c r="H52" s="2">
        <v>1</v>
      </c>
      <c r="I52" s="2">
        <v>1</v>
      </c>
      <c r="J52" s="2">
        <f>ABS(F52-E52)</f>
        <v>7</v>
      </c>
      <c r="K52" s="29">
        <f>J52/E52</f>
        <v>0.13461538461538461</v>
      </c>
      <c r="L52" s="2">
        <f>ABS(G52-E52)</f>
        <v>2</v>
      </c>
      <c r="M52" s="50">
        <f>(L52/E52)</f>
        <v>3.8461538461538464E-2</v>
      </c>
      <c r="N52" s="2">
        <v>54</v>
      </c>
      <c r="O52" s="11">
        <f t="shared" si="0"/>
        <v>2</v>
      </c>
      <c r="P52" s="29">
        <f t="shared" si="1"/>
        <v>3.8461538461538464E-2</v>
      </c>
    </row>
    <row r="53" spans="1:16" x14ac:dyDescent="0.35">
      <c r="A53" s="2" t="s">
        <v>40</v>
      </c>
      <c r="B53" s="2" t="s">
        <v>41</v>
      </c>
      <c r="C53" s="2" t="s">
        <v>37</v>
      </c>
      <c r="D53" s="2" t="s">
        <v>15</v>
      </c>
      <c r="E53" s="2">
        <v>105</v>
      </c>
      <c r="F53" s="2">
        <v>100</v>
      </c>
      <c r="G53" s="2">
        <v>107</v>
      </c>
      <c r="H53" s="2">
        <v>0</v>
      </c>
      <c r="I53" s="2">
        <v>0</v>
      </c>
      <c r="J53" s="2">
        <f>ABS(F53-E53)</f>
        <v>5</v>
      </c>
      <c r="K53" s="29">
        <f>J53/E53</f>
        <v>4.7619047619047616E-2</v>
      </c>
      <c r="L53" s="2">
        <f>ABS(G53-E53)</f>
        <v>2</v>
      </c>
      <c r="M53" s="50">
        <f>(L53/E53)</f>
        <v>1.9047619047619049E-2</v>
      </c>
      <c r="N53" s="2">
        <v>97</v>
      </c>
      <c r="O53" s="11">
        <f t="shared" si="0"/>
        <v>8</v>
      </c>
      <c r="P53" s="29">
        <f t="shared" si="1"/>
        <v>7.6190476190476197E-2</v>
      </c>
    </row>
    <row r="54" spans="1:16" x14ac:dyDescent="0.35">
      <c r="A54" s="2" t="s">
        <v>40</v>
      </c>
      <c r="B54" s="2" t="s">
        <v>41</v>
      </c>
      <c r="C54" s="2" t="s">
        <v>37</v>
      </c>
      <c r="D54" s="2" t="s">
        <v>16</v>
      </c>
      <c r="E54" s="2">
        <v>85</v>
      </c>
      <c r="F54" s="2">
        <v>93</v>
      </c>
      <c r="G54" s="2">
        <v>81</v>
      </c>
      <c r="H54" s="2">
        <v>0</v>
      </c>
      <c r="I54" s="2">
        <v>0</v>
      </c>
      <c r="J54" s="2">
        <f>ABS(F54-E54)</f>
        <v>8</v>
      </c>
      <c r="K54" s="29">
        <f>J54/E54</f>
        <v>9.4117647058823528E-2</v>
      </c>
      <c r="L54" s="2">
        <f>ABS(G54-E54)</f>
        <v>4</v>
      </c>
      <c r="M54" s="50">
        <f>(L54/E54)</f>
        <v>4.7058823529411764E-2</v>
      </c>
      <c r="N54" s="2">
        <v>88</v>
      </c>
      <c r="O54" s="11">
        <f t="shared" si="0"/>
        <v>3</v>
      </c>
      <c r="P54" s="29">
        <f t="shared" si="1"/>
        <v>3.5294117647058823E-2</v>
      </c>
    </row>
    <row r="55" spans="1:16" x14ac:dyDescent="0.35">
      <c r="A55" s="2" t="s">
        <v>40</v>
      </c>
      <c r="B55" s="2" t="s">
        <v>41</v>
      </c>
      <c r="C55" s="2" t="s">
        <v>37</v>
      </c>
      <c r="D55" s="2" t="s">
        <v>17</v>
      </c>
      <c r="E55" s="2">
        <v>44</v>
      </c>
      <c r="F55" s="2">
        <v>45</v>
      </c>
      <c r="G55" s="2">
        <v>43</v>
      </c>
      <c r="H55" s="2">
        <v>0</v>
      </c>
      <c r="I55" s="2">
        <v>1</v>
      </c>
      <c r="J55" s="2">
        <f>ABS(F55-E55)</f>
        <v>1</v>
      </c>
      <c r="K55" s="29">
        <f>J55/E55</f>
        <v>2.2727272727272728E-2</v>
      </c>
      <c r="L55" s="2">
        <f>ABS(G55-E55)</f>
        <v>1</v>
      </c>
      <c r="M55" s="50">
        <f>(L55/E55)</f>
        <v>2.2727272727272728E-2</v>
      </c>
      <c r="N55" s="2">
        <v>42</v>
      </c>
      <c r="O55" s="11">
        <f t="shared" si="0"/>
        <v>2</v>
      </c>
      <c r="P55" s="29">
        <f t="shared" si="1"/>
        <v>4.5454545454545456E-2</v>
      </c>
    </row>
    <row r="56" spans="1:16" x14ac:dyDescent="0.35">
      <c r="A56" s="2" t="s">
        <v>40</v>
      </c>
      <c r="B56" s="2" t="s">
        <v>41</v>
      </c>
      <c r="C56" s="2" t="s">
        <v>37</v>
      </c>
      <c r="D56" s="2" t="s">
        <v>18</v>
      </c>
      <c r="E56" s="2">
        <v>82</v>
      </c>
      <c r="F56" s="2">
        <v>80</v>
      </c>
      <c r="G56" s="2">
        <v>75</v>
      </c>
      <c r="H56" s="2">
        <v>1</v>
      </c>
      <c r="I56" s="2">
        <v>0</v>
      </c>
      <c r="J56" s="2">
        <f>ABS(F56-E56)</f>
        <v>2</v>
      </c>
      <c r="K56" s="29">
        <f>J56/E56</f>
        <v>2.4390243902439025E-2</v>
      </c>
      <c r="L56" s="2">
        <f>ABS(G56-E56)</f>
        <v>7</v>
      </c>
      <c r="M56" s="50">
        <f>(L56/E56)</f>
        <v>8.5365853658536592E-2</v>
      </c>
      <c r="N56" s="2">
        <v>81</v>
      </c>
      <c r="O56" s="11">
        <f t="shared" si="0"/>
        <v>1</v>
      </c>
      <c r="P56" s="29">
        <f t="shared" si="1"/>
        <v>1.2195121951219513E-2</v>
      </c>
    </row>
    <row r="57" spans="1:16" x14ac:dyDescent="0.35">
      <c r="A57" s="2" t="s">
        <v>40</v>
      </c>
      <c r="B57" s="2" t="s">
        <v>41</v>
      </c>
      <c r="C57" s="2" t="s">
        <v>37</v>
      </c>
      <c r="D57" s="2" t="s">
        <v>19</v>
      </c>
      <c r="E57" s="2">
        <v>65</v>
      </c>
      <c r="F57" s="2">
        <v>65</v>
      </c>
      <c r="G57" s="2">
        <v>67</v>
      </c>
      <c r="H57" s="2">
        <v>0</v>
      </c>
      <c r="I57" s="2">
        <v>0</v>
      </c>
      <c r="J57" s="2">
        <f>ABS(F57-E57)</f>
        <v>0</v>
      </c>
      <c r="K57" s="29">
        <f>J57/E57</f>
        <v>0</v>
      </c>
      <c r="L57" s="2">
        <f>ABS(G57-E57)</f>
        <v>2</v>
      </c>
      <c r="M57" s="50">
        <f>(L57/E57)</f>
        <v>3.0769230769230771E-2</v>
      </c>
      <c r="N57" s="2">
        <v>65</v>
      </c>
      <c r="O57" s="11">
        <f t="shared" si="0"/>
        <v>0</v>
      </c>
      <c r="P57" s="29">
        <f t="shared" si="1"/>
        <v>0</v>
      </c>
    </row>
    <row r="58" spans="1:16" x14ac:dyDescent="0.35">
      <c r="A58" s="2" t="s">
        <v>40</v>
      </c>
      <c r="B58" s="2" t="s">
        <v>41</v>
      </c>
      <c r="C58" s="2" t="s">
        <v>37</v>
      </c>
      <c r="D58" s="2" t="s">
        <v>20</v>
      </c>
      <c r="E58" s="2">
        <v>70</v>
      </c>
      <c r="F58" s="2">
        <v>58</v>
      </c>
      <c r="G58" s="2">
        <v>65</v>
      </c>
      <c r="H58" s="2">
        <v>0</v>
      </c>
      <c r="I58" s="2">
        <v>0</v>
      </c>
      <c r="J58" s="2">
        <f>ABS(F58-E58)</f>
        <v>12</v>
      </c>
      <c r="K58" s="29">
        <f>J58/E58</f>
        <v>0.17142857142857143</v>
      </c>
      <c r="L58" s="2">
        <f>ABS(G58-E58)</f>
        <v>5</v>
      </c>
      <c r="M58" s="50">
        <f>(L58/E58)</f>
        <v>7.1428571428571425E-2</v>
      </c>
      <c r="N58" s="2">
        <v>61</v>
      </c>
      <c r="O58" s="11">
        <f t="shared" si="0"/>
        <v>9</v>
      </c>
      <c r="P58" s="29">
        <f t="shared" si="1"/>
        <v>0.12857142857142856</v>
      </c>
    </row>
    <row r="59" spans="1:16" x14ac:dyDescent="0.35">
      <c r="A59" s="2" t="s">
        <v>40</v>
      </c>
      <c r="B59" s="2" t="s">
        <v>41</v>
      </c>
      <c r="C59" s="2" t="s">
        <v>37</v>
      </c>
      <c r="D59" s="2" t="s">
        <v>21</v>
      </c>
      <c r="E59" s="2">
        <v>60</v>
      </c>
      <c r="F59" s="2">
        <v>47</v>
      </c>
      <c r="G59" s="2">
        <v>59</v>
      </c>
      <c r="H59" s="2">
        <v>0</v>
      </c>
      <c r="I59" s="2">
        <v>0</v>
      </c>
      <c r="J59" s="2">
        <f>ABS(F59-E59)</f>
        <v>13</v>
      </c>
      <c r="K59" s="29">
        <f>J59/E59</f>
        <v>0.21666666666666667</v>
      </c>
      <c r="L59" s="2">
        <f>ABS(G59-E59)</f>
        <v>1</v>
      </c>
      <c r="M59" s="50">
        <f>(L59/E59)</f>
        <v>1.6666666666666666E-2</v>
      </c>
      <c r="N59" s="2">
        <v>58</v>
      </c>
      <c r="O59" s="11">
        <f t="shared" si="0"/>
        <v>2</v>
      </c>
      <c r="P59" s="29">
        <f t="shared" si="1"/>
        <v>3.3333333333333333E-2</v>
      </c>
    </row>
    <row r="60" spans="1:16" x14ac:dyDescent="0.35">
      <c r="A60" s="2" t="s">
        <v>40</v>
      </c>
      <c r="B60" s="2" t="s">
        <v>41</v>
      </c>
      <c r="C60" s="2" t="s">
        <v>37</v>
      </c>
      <c r="D60" s="2" t="s">
        <v>22</v>
      </c>
      <c r="E60" s="2">
        <v>79</v>
      </c>
      <c r="F60" s="2">
        <v>68</v>
      </c>
      <c r="G60" s="2">
        <v>83</v>
      </c>
      <c r="H60" s="2">
        <v>0</v>
      </c>
      <c r="I60" s="2">
        <v>0</v>
      </c>
      <c r="J60" s="2">
        <f>ABS(F60-E60)</f>
        <v>11</v>
      </c>
      <c r="K60" s="29">
        <f>J60/E60</f>
        <v>0.13924050632911392</v>
      </c>
      <c r="L60" s="2">
        <f>ABS(G60-E60)</f>
        <v>4</v>
      </c>
      <c r="M60" s="50">
        <f>(L60/E60)</f>
        <v>5.0632911392405063E-2</v>
      </c>
      <c r="N60" s="2">
        <v>70</v>
      </c>
      <c r="O60" s="11">
        <f t="shared" si="0"/>
        <v>9</v>
      </c>
      <c r="P60" s="29">
        <f t="shared" si="1"/>
        <v>0.11392405063291139</v>
      </c>
    </row>
    <row r="61" spans="1:16" x14ac:dyDescent="0.35">
      <c r="A61" s="2" t="s">
        <v>40</v>
      </c>
      <c r="B61" s="2" t="s">
        <v>41</v>
      </c>
      <c r="C61" s="2" t="s">
        <v>37</v>
      </c>
      <c r="D61" s="2" t="s">
        <v>23</v>
      </c>
      <c r="E61" s="2">
        <v>100</v>
      </c>
      <c r="F61" s="2">
        <v>94</v>
      </c>
      <c r="G61" s="2">
        <v>105</v>
      </c>
      <c r="H61" s="2">
        <v>0</v>
      </c>
      <c r="I61" s="2">
        <v>0</v>
      </c>
      <c r="J61" s="2">
        <f>ABS(F61-E61)</f>
        <v>6</v>
      </c>
      <c r="K61" s="29">
        <f>J61/E61</f>
        <v>0.06</v>
      </c>
      <c r="L61" s="2">
        <f>ABS(G61-E61)</f>
        <v>5</v>
      </c>
      <c r="M61" s="50">
        <f>(L61/E61)</f>
        <v>0.05</v>
      </c>
      <c r="N61" s="2">
        <v>92</v>
      </c>
      <c r="O61" s="11">
        <f t="shared" si="0"/>
        <v>8</v>
      </c>
      <c r="P61" s="29">
        <f t="shared" si="1"/>
        <v>0.08</v>
      </c>
    </row>
    <row r="62" spans="1:16" x14ac:dyDescent="0.35">
      <c r="A62" s="2" t="s">
        <v>40</v>
      </c>
      <c r="B62" s="2" t="s">
        <v>41</v>
      </c>
      <c r="C62" s="2" t="s">
        <v>37</v>
      </c>
      <c r="D62" s="2" t="s">
        <v>24</v>
      </c>
      <c r="E62" s="2">
        <v>84</v>
      </c>
      <c r="F62" s="2">
        <v>66</v>
      </c>
      <c r="G62" s="2">
        <v>90</v>
      </c>
      <c r="H62" s="2">
        <v>0</v>
      </c>
      <c r="I62" s="2">
        <v>0</v>
      </c>
      <c r="J62" s="2">
        <f>ABS(F62-E62)</f>
        <v>18</v>
      </c>
      <c r="K62" s="29">
        <f>J62/E62</f>
        <v>0.21428571428571427</v>
      </c>
      <c r="L62" s="2">
        <f>ABS(G62-E62)</f>
        <v>6</v>
      </c>
      <c r="M62" s="50">
        <f>(L62/E62)</f>
        <v>7.1428571428571425E-2</v>
      </c>
      <c r="N62" s="2">
        <v>76</v>
      </c>
      <c r="O62" s="11">
        <f t="shared" si="0"/>
        <v>8</v>
      </c>
      <c r="P62" s="29">
        <f t="shared" si="1"/>
        <v>9.5238095238095233E-2</v>
      </c>
    </row>
    <row r="63" spans="1:16" x14ac:dyDescent="0.35">
      <c r="A63" s="2" t="s">
        <v>40</v>
      </c>
      <c r="B63" s="2" t="s">
        <v>41</v>
      </c>
      <c r="C63" s="2" t="s">
        <v>37</v>
      </c>
      <c r="D63" s="2" t="s">
        <v>25</v>
      </c>
      <c r="E63" s="2">
        <v>83</v>
      </c>
      <c r="F63" s="2">
        <v>83</v>
      </c>
      <c r="G63" s="2">
        <v>85</v>
      </c>
      <c r="H63" s="2">
        <v>0</v>
      </c>
      <c r="I63" s="2">
        <v>0</v>
      </c>
      <c r="J63" s="2">
        <f>ABS(F63-E63)</f>
        <v>0</v>
      </c>
      <c r="K63" s="29">
        <f>J63/E63</f>
        <v>0</v>
      </c>
      <c r="L63" s="2">
        <f>ABS(G63-E63)</f>
        <v>2</v>
      </c>
      <c r="M63" s="50">
        <f>(L63/E63)</f>
        <v>2.4096385542168676E-2</v>
      </c>
      <c r="N63" s="2">
        <v>93</v>
      </c>
      <c r="O63" s="11">
        <f t="shared" si="0"/>
        <v>10</v>
      </c>
      <c r="P63" s="29">
        <f t="shared" si="1"/>
        <v>0.12048192771084337</v>
      </c>
    </row>
    <row r="64" spans="1:16" x14ac:dyDescent="0.35">
      <c r="A64" s="2" t="s">
        <v>40</v>
      </c>
      <c r="B64" s="2" t="s">
        <v>41</v>
      </c>
      <c r="C64" s="2" t="s">
        <v>37</v>
      </c>
      <c r="D64" s="2" t="s">
        <v>26</v>
      </c>
      <c r="E64" s="2">
        <v>50</v>
      </c>
      <c r="F64" s="2">
        <v>49</v>
      </c>
      <c r="G64" s="2">
        <v>49</v>
      </c>
      <c r="H64" s="2">
        <v>0</v>
      </c>
      <c r="I64" s="2">
        <v>1</v>
      </c>
      <c r="J64" s="2">
        <f>ABS(F64-E64)</f>
        <v>1</v>
      </c>
      <c r="K64" s="29">
        <f>J64/E64</f>
        <v>0.02</v>
      </c>
      <c r="L64" s="2">
        <f>ABS(G64-E64)</f>
        <v>1</v>
      </c>
      <c r="M64" s="50">
        <f>(L64/E64)</f>
        <v>0.02</v>
      </c>
      <c r="N64" s="2">
        <v>50</v>
      </c>
      <c r="O64" s="11">
        <f t="shared" si="0"/>
        <v>0</v>
      </c>
      <c r="P64" s="29">
        <f t="shared" si="1"/>
        <v>0</v>
      </c>
    </row>
    <row r="65" spans="1:16" x14ac:dyDescent="0.35">
      <c r="A65" s="2" t="s">
        <v>40</v>
      </c>
      <c r="B65" s="2" t="s">
        <v>41</v>
      </c>
      <c r="C65" s="2" t="s">
        <v>37</v>
      </c>
      <c r="D65" s="2" t="s">
        <v>27</v>
      </c>
      <c r="E65" s="2">
        <v>107</v>
      </c>
      <c r="F65" s="2">
        <v>91</v>
      </c>
      <c r="G65" s="2">
        <v>101</v>
      </c>
      <c r="H65" s="2">
        <v>0</v>
      </c>
      <c r="I65" s="2">
        <v>0</v>
      </c>
      <c r="J65" s="2">
        <f>ABS(F65-E65)</f>
        <v>16</v>
      </c>
      <c r="K65" s="29">
        <f>J65/E65</f>
        <v>0.14953271028037382</v>
      </c>
      <c r="L65" s="2">
        <f>ABS(G65-E65)</f>
        <v>6</v>
      </c>
      <c r="M65" s="50">
        <f>(L65/E65)</f>
        <v>5.6074766355140186E-2</v>
      </c>
      <c r="N65" s="2">
        <v>93</v>
      </c>
      <c r="O65" s="11">
        <f t="shared" si="0"/>
        <v>14</v>
      </c>
      <c r="P65" s="29">
        <f t="shared" si="1"/>
        <v>0.13084112149532709</v>
      </c>
    </row>
    <row r="66" spans="1:16" x14ac:dyDescent="0.35">
      <c r="A66" s="2" t="s">
        <v>40</v>
      </c>
      <c r="B66" s="2" t="s">
        <v>41</v>
      </c>
      <c r="C66" s="2" t="s">
        <v>37</v>
      </c>
      <c r="D66" s="2" t="s">
        <v>28</v>
      </c>
      <c r="E66" s="2">
        <v>77</v>
      </c>
      <c r="F66" s="2">
        <v>75</v>
      </c>
      <c r="G66" s="2">
        <v>82</v>
      </c>
      <c r="H66" s="2">
        <v>0</v>
      </c>
      <c r="I66" s="2">
        <v>0</v>
      </c>
      <c r="J66" s="2">
        <f>ABS(F66-E66)</f>
        <v>2</v>
      </c>
      <c r="K66" s="29">
        <f>J66/E66</f>
        <v>2.5974025974025976E-2</v>
      </c>
      <c r="L66" s="2">
        <f>ABS(G66-E66)</f>
        <v>5</v>
      </c>
      <c r="M66" s="50">
        <f>(L66/E66)</f>
        <v>6.4935064935064929E-2</v>
      </c>
      <c r="N66" s="2">
        <v>78</v>
      </c>
      <c r="O66" s="11">
        <f t="shared" si="0"/>
        <v>1</v>
      </c>
      <c r="P66" s="29">
        <f t="shared" si="1"/>
        <v>1.2987012987012988E-2</v>
      </c>
    </row>
    <row r="67" spans="1:16" x14ac:dyDescent="0.35">
      <c r="A67" s="2" t="s">
        <v>40</v>
      </c>
      <c r="B67" s="2" t="s">
        <v>41</v>
      </c>
      <c r="C67" s="2" t="s">
        <v>37</v>
      </c>
      <c r="D67" s="2" t="s">
        <v>29</v>
      </c>
      <c r="E67" s="2">
        <v>93</v>
      </c>
      <c r="F67" s="2">
        <v>86</v>
      </c>
      <c r="G67" s="2">
        <v>92</v>
      </c>
      <c r="H67" s="2">
        <v>0</v>
      </c>
      <c r="I67" s="2">
        <v>0</v>
      </c>
      <c r="J67" s="2">
        <f>ABS(F67-E67)</f>
        <v>7</v>
      </c>
      <c r="K67" s="29">
        <f>J67/E67</f>
        <v>7.5268817204301078E-2</v>
      </c>
      <c r="L67" s="2">
        <f>ABS(G67-E67)</f>
        <v>1</v>
      </c>
      <c r="M67" s="50">
        <f>(L67/E67)</f>
        <v>1.0752688172043012E-2</v>
      </c>
      <c r="N67" s="2">
        <v>87</v>
      </c>
      <c r="O67" s="11">
        <f t="shared" ref="O67:O130" si="2">ABS(N67-E67)</f>
        <v>6</v>
      </c>
      <c r="P67" s="29">
        <f t="shared" ref="P67:P130" si="3">O67/E67</f>
        <v>6.4516129032258063E-2</v>
      </c>
    </row>
    <row r="68" spans="1:16" x14ac:dyDescent="0.35">
      <c r="A68" s="2" t="s">
        <v>40</v>
      </c>
      <c r="B68" s="2" t="s">
        <v>41</v>
      </c>
      <c r="C68" s="2" t="s">
        <v>37</v>
      </c>
      <c r="D68" s="2" t="s">
        <v>30</v>
      </c>
      <c r="E68" s="2">
        <v>92</v>
      </c>
      <c r="F68" s="2">
        <v>88</v>
      </c>
      <c r="G68" s="2">
        <v>92</v>
      </c>
      <c r="H68" s="2">
        <v>0</v>
      </c>
      <c r="I68" s="2">
        <v>0</v>
      </c>
      <c r="J68" s="2">
        <f>ABS(F68-E68)</f>
        <v>4</v>
      </c>
      <c r="K68" s="29">
        <f>J68/E68</f>
        <v>4.3478260869565216E-2</v>
      </c>
      <c r="L68" s="2">
        <f>ABS(G68-E68)</f>
        <v>0</v>
      </c>
      <c r="M68" s="50">
        <f>(L68/E68)</f>
        <v>0</v>
      </c>
      <c r="N68" s="2">
        <v>92</v>
      </c>
      <c r="O68" s="11">
        <f t="shared" si="2"/>
        <v>0</v>
      </c>
      <c r="P68" s="29">
        <f t="shared" si="3"/>
        <v>0</v>
      </c>
    </row>
    <row r="69" spans="1:16" x14ac:dyDescent="0.35">
      <c r="A69" s="2" t="s">
        <v>40</v>
      </c>
      <c r="B69" s="2" t="s">
        <v>41</v>
      </c>
      <c r="C69" s="2" t="s">
        <v>37</v>
      </c>
      <c r="D69" s="2" t="s">
        <v>31</v>
      </c>
      <c r="E69" s="2">
        <v>32</v>
      </c>
      <c r="F69" s="2">
        <v>34</v>
      </c>
      <c r="G69" s="2">
        <v>31</v>
      </c>
      <c r="H69" s="2">
        <v>0</v>
      </c>
      <c r="I69" s="2">
        <v>1</v>
      </c>
      <c r="J69" s="2">
        <f>ABS(F69-E69)</f>
        <v>2</v>
      </c>
      <c r="K69" s="29">
        <f>J69/E69</f>
        <v>6.25E-2</v>
      </c>
      <c r="L69" s="2">
        <f>ABS(G69-E69)</f>
        <v>1</v>
      </c>
      <c r="M69" s="50">
        <f>(L69/E69)</f>
        <v>3.125E-2</v>
      </c>
      <c r="N69" s="2">
        <v>34</v>
      </c>
      <c r="O69" s="11">
        <f t="shared" si="2"/>
        <v>2</v>
      </c>
      <c r="P69" s="29">
        <f t="shared" si="3"/>
        <v>6.25E-2</v>
      </c>
    </row>
    <row r="70" spans="1:16" x14ac:dyDescent="0.35">
      <c r="A70" s="2" t="s">
        <v>40</v>
      </c>
      <c r="B70" s="2" t="s">
        <v>41</v>
      </c>
      <c r="C70" s="2" t="s">
        <v>37</v>
      </c>
      <c r="D70" s="2" t="s">
        <v>32</v>
      </c>
      <c r="E70" s="2">
        <v>72</v>
      </c>
      <c r="F70" s="2">
        <v>68</v>
      </c>
      <c r="G70" s="2">
        <v>76</v>
      </c>
      <c r="H70" s="2">
        <v>0</v>
      </c>
      <c r="I70" s="2">
        <v>0</v>
      </c>
      <c r="J70" s="2">
        <f>ABS(F70-E70)</f>
        <v>4</v>
      </c>
      <c r="K70" s="29">
        <f>J70/E70</f>
        <v>5.5555555555555552E-2</v>
      </c>
      <c r="L70" s="2">
        <f>ABS(G70-E70)</f>
        <v>4</v>
      </c>
      <c r="M70" s="50">
        <f>(L70/E70)</f>
        <v>5.5555555555555552E-2</v>
      </c>
      <c r="N70" s="2">
        <v>66</v>
      </c>
      <c r="O70" s="11">
        <f t="shared" si="2"/>
        <v>6</v>
      </c>
      <c r="P70" s="29">
        <f t="shared" si="3"/>
        <v>8.3333333333333329E-2</v>
      </c>
    </row>
    <row r="71" spans="1:16" x14ac:dyDescent="0.35">
      <c r="A71" s="2" t="s">
        <v>40</v>
      </c>
      <c r="B71" s="2" t="s">
        <v>41</v>
      </c>
      <c r="C71" s="2" t="s">
        <v>37</v>
      </c>
      <c r="D71" s="2" t="s">
        <v>33</v>
      </c>
      <c r="E71" s="2">
        <v>74</v>
      </c>
      <c r="F71" s="2">
        <v>73</v>
      </c>
      <c r="G71" s="2">
        <v>69</v>
      </c>
      <c r="H71" s="2">
        <v>1</v>
      </c>
      <c r="I71" s="2">
        <v>0</v>
      </c>
      <c r="J71" s="2">
        <f>ABS(F71-E71)</f>
        <v>1</v>
      </c>
      <c r="K71" s="29">
        <f>J71/E71</f>
        <v>1.3513513513513514E-2</v>
      </c>
      <c r="L71" s="2">
        <f>ABS(G71-E71)</f>
        <v>5</v>
      </c>
      <c r="M71" s="50">
        <f>(L71/E71)</f>
        <v>6.7567567567567571E-2</v>
      </c>
      <c r="N71" s="2">
        <v>72</v>
      </c>
      <c r="O71" s="11">
        <f t="shared" si="2"/>
        <v>2</v>
      </c>
      <c r="P71" s="29">
        <f t="shared" si="3"/>
        <v>2.7027027027027029E-2</v>
      </c>
    </row>
    <row r="72" spans="1:16" x14ac:dyDescent="0.35">
      <c r="A72" s="2" t="s">
        <v>40</v>
      </c>
      <c r="B72" s="2" t="s">
        <v>41</v>
      </c>
      <c r="C72" s="2" t="s">
        <v>37</v>
      </c>
      <c r="D72" s="2" t="s">
        <v>34</v>
      </c>
      <c r="E72" s="2">
        <v>76</v>
      </c>
      <c r="F72" s="2">
        <v>77</v>
      </c>
      <c r="G72" s="2">
        <v>78</v>
      </c>
      <c r="H72" s="2">
        <v>0</v>
      </c>
      <c r="I72" s="2">
        <v>0</v>
      </c>
      <c r="J72" s="2">
        <f>ABS(F72-E72)</f>
        <v>1</v>
      </c>
      <c r="K72" s="29">
        <f>J72/E72</f>
        <v>1.3157894736842105E-2</v>
      </c>
      <c r="L72" s="2">
        <f>ABS(G72-E72)</f>
        <v>2</v>
      </c>
      <c r="M72" s="50">
        <f>(L72/E72)</f>
        <v>2.6315789473684209E-2</v>
      </c>
      <c r="N72" s="2">
        <v>74</v>
      </c>
      <c r="O72" s="11">
        <f t="shared" si="2"/>
        <v>2</v>
      </c>
      <c r="P72" s="29">
        <f t="shared" si="3"/>
        <v>2.6315789473684209E-2</v>
      </c>
    </row>
    <row r="73" spans="1:16" x14ac:dyDescent="0.35">
      <c r="A73" s="2" t="s">
        <v>40</v>
      </c>
      <c r="B73" s="2" t="s">
        <v>41</v>
      </c>
      <c r="C73" s="2" t="s">
        <v>37</v>
      </c>
      <c r="D73" s="2" t="s">
        <v>35</v>
      </c>
      <c r="E73" s="2">
        <v>80</v>
      </c>
      <c r="F73" s="2">
        <v>89</v>
      </c>
      <c r="G73" s="2">
        <v>76</v>
      </c>
      <c r="H73" s="2">
        <v>0</v>
      </c>
      <c r="I73" s="2">
        <v>0</v>
      </c>
      <c r="J73" s="2">
        <f>ABS(F73-E73)</f>
        <v>9</v>
      </c>
      <c r="K73" s="29">
        <f>J73/E73</f>
        <v>0.1125</v>
      </c>
      <c r="L73" s="2">
        <f>ABS(G73-E73)</f>
        <v>4</v>
      </c>
      <c r="M73" s="50">
        <f>(L73/E73)</f>
        <v>0.05</v>
      </c>
      <c r="N73" s="2">
        <v>84</v>
      </c>
      <c r="O73" s="11">
        <f t="shared" si="2"/>
        <v>4</v>
      </c>
      <c r="P73" s="29">
        <f t="shared" si="3"/>
        <v>0.05</v>
      </c>
    </row>
    <row r="74" spans="1:16" x14ac:dyDescent="0.35">
      <c r="A74" s="2" t="s">
        <v>40</v>
      </c>
      <c r="B74" s="2" t="s">
        <v>41</v>
      </c>
      <c r="C74" s="2" t="s">
        <v>38</v>
      </c>
      <c r="D74" s="2" t="s">
        <v>12</v>
      </c>
      <c r="E74" s="2">
        <v>204</v>
      </c>
      <c r="F74" s="2">
        <v>218</v>
      </c>
      <c r="G74" s="2">
        <v>203</v>
      </c>
      <c r="H74" s="2">
        <v>0</v>
      </c>
      <c r="I74" s="2">
        <v>0</v>
      </c>
      <c r="J74" s="2">
        <f>ABS(F74-E74)</f>
        <v>14</v>
      </c>
      <c r="K74" s="29">
        <f>J74/E74</f>
        <v>6.8627450980392163E-2</v>
      </c>
      <c r="L74" s="2">
        <f>ABS(G74-E74)</f>
        <v>1</v>
      </c>
      <c r="M74" s="50">
        <f>(L74/E74)</f>
        <v>4.9019607843137254E-3</v>
      </c>
      <c r="N74" s="2">
        <v>199</v>
      </c>
      <c r="O74" s="11">
        <f t="shared" si="2"/>
        <v>5</v>
      </c>
      <c r="P74" s="29">
        <f t="shared" si="3"/>
        <v>2.4509803921568627E-2</v>
      </c>
    </row>
    <row r="75" spans="1:16" x14ac:dyDescent="0.35">
      <c r="A75" s="2" t="s">
        <v>40</v>
      </c>
      <c r="B75" s="2" t="s">
        <v>41</v>
      </c>
      <c r="C75" s="2" t="s">
        <v>38</v>
      </c>
      <c r="D75" s="2" t="s">
        <v>13</v>
      </c>
      <c r="E75" s="2">
        <v>253</v>
      </c>
      <c r="F75" s="2">
        <v>258</v>
      </c>
      <c r="G75" s="2">
        <v>243</v>
      </c>
      <c r="H75" s="2">
        <v>0</v>
      </c>
      <c r="I75" s="2">
        <v>0</v>
      </c>
      <c r="J75" s="2">
        <f>ABS(F75-E75)</f>
        <v>5</v>
      </c>
      <c r="K75" s="29">
        <f>J75/E75</f>
        <v>1.9762845849802372E-2</v>
      </c>
      <c r="L75" s="2">
        <f>ABS(G75-E75)</f>
        <v>10</v>
      </c>
      <c r="M75" s="50">
        <f>(L75/E75)</f>
        <v>3.9525691699604744E-2</v>
      </c>
      <c r="N75" s="2">
        <v>227</v>
      </c>
      <c r="O75" s="11">
        <f t="shared" si="2"/>
        <v>26</v>
      </c>
      <c r="P75" s="29">
        <f t="shared" si="3"/>
        <v>0.10276679841897234</v>
      </c>
    </row>
    <row r="76" spans="1:16" x14ac:dyDescent="0.35">
      <c r="A76" s="2" t="s">
        <v>40</v>
      </c>
      <c r="B76" s="2" t="s">
        <v>41</v>
      </c>
      <c r="C76" s="2" t="s">
        <v>38</v>
      </c>
      <c r="D76" s="2" t="s">
        <v>14</v>
      </c>
      <c r="E76" s="2">
        <v>251</v>
      </c>
      <c r="F76" s="2">
        <v>249</v>
      </c>
      <c r="G76" s="2">
        <v>259</v>
      </c>
      <c r="H76" s="2">
        <v>0</v>
      </c>
      <c r="I76" s="2">
        <v>0</v>
      </c>
      <c r="J76" s="2">
        <f>ABS(F76-E76)</f>
        <v>2</v>
      </c>
      <c r="K76" s="29">
        <f>J76/E76</f>
        <v>7.9681274900398405E-3</v>
      </c>
      <c r="L76" s="2">
        <f>ABS(G76-E76)</f>
        <v>8</v>
      </c>
      <c r="M76" s="50">
        <f>(L76/E76)</f>
        <v>3.1872509960159362E-2</v>
      </c>
      <c r="N76" s="2">
        <v>228</v>
      </c>
      <c r="O76" s="11">
        <f t="shared" si="2"/>
        <v>23</v>
      </c>
      <c r="P76" s="29">
        <f t="shared" si="3"/>
        <v>9.1633466135458169E-2</v>
      </c>
    </row>
    <row r="77" spans="1:16" x14ac:dyDescent="0.35">
      <c r="A77" s="2" t="s">
        <v>40</v>
      </c>
      <c r="B77" s="2" t="s">
        <v>41</v>
      </c>
      <c r="C77" s="2" t="s">
        <v>38</v>
      </c>
      <c r="D77" s="2" t="s">
        <v>15</v>
      </c>
      <c r="E77" s="2">
        <v>193</v>
      </c>
      <c r="F77" s="2">
        <v>251</v>
      </c>
      <c r="G77" s="2">
        <v>189</v>
      </c>
      <c r="H77" s="2">
        <v>0</v>
      </c>
      <c r="I77" s="2">
        <v>0</v>
      </c>
      <c r="J77" s="2">
        <f>ABS(F77-E77)</f>
        <v>58</v>
      </c>
      <c r="K77" s="29">
        <f>J77/E77</f>
        <v>0.30051813471502592</v>
      </c>
      <c r="L77" s="2">
        <f>ABS(G77-E77)</f>
        <v>4</v>
      </c>
      <c r="M77" s="50">
        <f>(L77/E77)</f>
        <v>2.072538860103627E-2</v>
      </c>
      <c r="N77" s="2">
        <v>218</v>
      </c>
      <c r="O77" s="11">
        <f t="shared" si="2"/>
        <v>25</v>
      </c>
      <c r="P77" s="29">
        <f t="shared" si="3"/>
        <v>0.12953367875647667</v>
      </c>
    </row>
    <row r="78" spans="1:16" x14ac:dyDescent="0.35">
      <c r="A78" s="2" t="s">
        <v>40</v>
      </c>
      <c r="B78" s="2" t="s">
        <v>41</v>
      </c>
      <c r="C78" s="2" t="s">
        <v>38</v>
      </c>
      <c r="D78" s="2" t="s">
        <v>16</v>
      </c>
      <c r="E78" s="2">
        <v>222</v>
      </c>
      <c r="F78" s="2">
        <v>277</v>
      </c>
      <c r="G78" s="2">
        <v>229</v>
      </c>
      <c r="H78" s="2">
        <v>0</v>
      </c>
      <c r="I78" s="2">
        <v>0</v>
      </c>
      <c r="J78" s="2">
        <f>ABS(F78-E78)</f>
        <v>55</v>
      </c>
      <c r="K78" s="29">
        <f>J78/E78</f>
        <v>0.24774774774774774</v>
      </c>
      <c r="L78" s="2">
        <f>ABS(G78-E78)</f>
        <v>7</v>
      </c>
      <c r="M78" s="50">
        <f>(L78/E78)</f>
        <v>3.1531531531531529E-2</v>
      </c>
      <c r="N78" s="2">
        <v>220</v>
      </c>
      <c r="O78" s="11">
        <f t="shared" si="2"/>
        <v>2</v>
      </c>
      <c r="P78" s="29">
        <f t="shared" si="3"/>
        <v>9.0090090090090089E-3</v>
      </c>
    </row>
    <row r="79" spans="1:16" x14ac:dyDescent="0.35">
      <c r="A79" s="2" t="s">
        <v>40</v>
      </c>
      <c r="B79" s="2" t="s">
        <v>41</v>
      </c>
      <c r="C79" s="2" t="s">
        <v>38</v>
      </c>
      <c r="D79" s="2" t="s">
        <v>17</v>
      </c>
      <c r="E79" s="2">
        <v>189</v>
      </c>
      <c r="F79" s="2">
        <v>234</v>
      </c>
      <c r="G79" s="2">
        <v>205</v>
      </c>
      <c r="H79" s="2">
        <v>1</v>
      </c>
      <c r="I79" s="2">
        <v>0</v>
      </c>
      <c r="J79" s="2">
        <f>ABS(F79-E79)</f>
        <v>45</v>
      </c>
      <c r="K79" s="29">
        <f>J79/E79</f>
        <v>0.23809523809523808</v>
      </c>
      <c r="L79" s="2">
        <f>ABS(G79-E79)</f>
        <v>16</v>
      </c>
      <c r="M79" s="50">
        <f>(L79/E79)</f>
        <v>8.4656084656084651E-2</v>
      </c>
      <c r="N79" s="2">
        <v>191</v>
      </c>
      <c r="O79" s="11">
        <f t="shared" si="2"/>
        <v>2</v>
      </c>
      <c r="P79" s="29">
        <f t="shared" si="3"/>
        <v>1.0582010582010581E-2</v>
      </c>
    </row>
    <row r="80" spans="1:16" x14ac:dyDescent="0.35">
      <c r="A80" s="2" t="s">
        <v>40</v>
      </c>
      <c r="B80" s="2" t="s">
        <v>41</v>
      </c>
      <c r="C80" s="2" t="s">
        <v>38</v>
      </c>
      <c r="D80" s="2" t="s">
        <v>18</v>
      </c>
      <c r="E80" s="2">
        <v>195</v>
      </c>
      <c r="F80" s="2">
        <v>190</v>
      </c>
      <c r="G80" s="2">
        <v>207</v>
      </c>
      <c r="H80" s="2">
        <v>0</v>
      </c>
      <c r="I80" s="2">
        <v>0</v>
      </c>
      <c r="J80" s="2">
        <f>ABS(F80-E80)</f>
        <v>5</v>
      </c>
      <c r="K80" s="29">
        <f>J80/E80</f>
        <v>2.564102564102564E-2</v>
      </c>
      <c r="L80" s="2">
        <f>ABS(G80-E80)</f>
        <v>12</v>
      </c>
      <c r="M80" s="50">
        <f>(L80/E80)</f>
        <v>6.1538461538461542E-2</v>
      </c>
      <c r="N80" s="2">
        <v>176</v>
      </c>
      <c r="O80" s="11">
        <f t="shared" si="2"/>
        <v>19</v>
      </c>
      <c r="P80" s="29">
        <f t="shared" si="3"/>
        <v>9.7435897435897437E-2</v>
      </c>
    </row>
    <row r="81" spans="1:16" x14ac:dyDescent="0.35">
      <c r="A81" s="2" t="s">
        <v>40</v>
      </c>
      <c r="B81" s="2" t="s">
        <v>41</v>
      </c>
      <c r="C81" s="2" t="s">
        <v>38</v>
      </c>
      <c r="D81" s="2" t="s">
        <v>19</v>
      </c>
      <c r="E81" s="2">
        <v>157</v>
      </c>
      <c r="F81" s="2">
        <v>156</v>
      </c>
      <c r="G81" s="2">
        <v>163</v>
      </c>
      <c r="H81" s="2">
        <v>0</v>
      </c>
      <c r="I81" s="2">
        <v>0</v>
      </c>
      <c r="J81" s="2">
        <f>ABS(F81-E81)</f>
        <v>1</v>
      </c>
      <c r="K81" s="29">
        <f>J81/E81</f>
        <v>6.369426751592357E-3</v>
      </c>
      <c r="L81" s="2">
        <f>ABS(G81-E81)</f>
        <v>6</v>
      </c>
      <c r="M81" s="50">
        <f>(L81/E81)</f>
        <v>3.8216560509554139E-2</v>
      </c>
      <c r="N81" s="2">
        <v>154</v>
      </c>
      <c r="O81" s="11">
        <f t="shared" si="2"/>
        <v>3</v>
      </c>
      <c r="P81" s="29">
        <f t="shared" si="3"/>
        <v>1.9108280254777069E-2</v>
      </c>
    </row>
    <row r="82" spans="1:16" x14ac:dyDescent="0.35">
      <c r="A82" s="2" t="s">
        <v>40</v>
      </c>
      <c r="B82" s="2" t="s">
        <v>41</v>
      </c>
      <c r="C82" s="2" t="s">
        <v>38</v>
      </c>
      <c r="D82" s="2" t="s">
        <v>20</v>
      </c>
      <c r="E82" s="2">
        <v>152</v>
      </c>
      <c r="F82" s="2">
        <v>148</v>
      </c>
      <c r="G82" s="2">
        <v>140</v>
      </c>
      <c r="H82" s="2">
        <v>0</v>
      </c>
      <c r="I82" s="2">
        <v>0</v>
      </c>
      <c r="J82" s="2">
        <f>ABS(F82-E82)</f>
        <v>4</v>
      </c>
      <c r="K82" s="29">
        <f>J82/E82</f>
        <v>2.6315789473684209E-2</v>
      </c>
      <c r="L82" s="2">
        <f>ABS(G82-E82)</f>
        <v>12</v>
      </c>
      <c r="M82" s="50">
        <f>(L82/E82)</f>
        <v>7.8947368421052627E-2</v>
      </c>
      <c r="N82" s="2">
        <v>140</v>
      </c>
      <c r="O82" s="11">
        <f t="shared" si="2"/>
        <v>12</v>
      </c>
      <c r="P82" s="29">
        <f t="shared" si="3"/>
        <v>7.8947368421052627E-2</v>
      </c>
    </row>
    <row r="83" spans="1:16" x14ac:dyDescent="0.35">
      <c r="A83" s="2" t="s">
        <v>40</v>
      </c>
      <c r="B83" s="2" t="s">
        <v>41</v>
      </c>
      <c r="C83" s="2" t="s">
        <v>38</v>
      </c>
      <c r="D83" s="2" t="s">
        <v>21</v>
      </c>
      <c r="E83" s="2">
        <v>139</v>
      </c>
      <c r="F83" s="2">
        <v>169</v>
      </c>
      <c r="G83" s="2">
        <v>126</v>
      </c>
      <c r="H83" s="2">
        <v>1</v>
      </c>
      <c r="I83" s="2">
        <v>0</v>
      </c>
      <c r="J83" s="2">
        <f>ABS(F83-E83)</f>
        <v>30</v>
      </c>
      <c r="K83" s="29">
        <f>J83/E83</f>
        <v>0.21582733812949639</v>
      </c>
      <c r="L83" s="2">
        <f>ABS(G83-E83)</f>
        <v>13</v>
      </c>
      <c r="M83" s="50">
        <f>(L83/E83)</f>
        <v>9.3525179856115109E-2</v>
      </c>
      <c r="N83" s="2">
        <v>144</v>
      </c>
      <c r="O83" s="11">
        <f t="shared" si="2"/>
        <v>5</v>
      </c>
      <c r="P83" s="29">
        <f t="shared" si="3"/>
        <v>3.5971223021582732E-2</v>
      </c>
    </row>
    <row r="84" spans="1:16" x14ac:dyDescent="0.35">
      <c r="A84" s="2" t="s">
        <v>40</v>
      </c>
      <c r="B84" s="2" t="s">
        <v>41</v>
      </c>
      <c r="C84" s="2" t="s">
        <v>38</v>
      </c>
      <c r="D84" s="2" t="s">
        <v>22</v>
      </c>
      <c r="E84" s="2">
        <v>99</v>
      </c>
      <c r="F84" s="2">
        <v>118</v>
      </c>
      <c r="G84" s="2">
        <v>97</v>
      </c>
      <c r="H84" s="2">
        <v>0</v>
      </c>
      <c r="I84" s="2">
        <v>1</v>
      </c>
      <c r="J84" s="2">
        <f>ABS(F84-E84)</f>
        <v>19</v>
      </c>
      <c r="K84" s="29">
        <f>J84/E84</f>
        <v>0.19191919191919191</v>
      </c>
      <c r="L84" s="2">
        <f>ABS(G84-E84)</f>
        <v>2</v>
      </c>
      <c r="M84" s="50">
        <f>(L84/E84)</f>
        <v>2.0202020202020204E-2</v>
      </c>
      <c r="N84" s="2">
        <v>110</v>
      </c>
      <c r="O84" s="11">
        <f t="shared" si="2"/>
        <v>11</v>
      </c>
      <c r="P84" s="29">
        <f t="shared" si="3"/>
        <v>0.1111111111111111</v>
      </c>
    </row>
    <row r="85" spans="1:16" x14ac:dyDescent="0.35">
      <c r="A85" s="2" t="s">
        <v>40</v>
      </c>
      <c r="B85" s="2" t="s">
        <v>41</v>
      </c>
      <c r="C85" s="2" t="s">
        <v>38</v>
      </c>
      <c r="D85" s="2" t="s">
        <v>23</v>
      </c>
      <c r="E85" s="2">
        <v>171</v>
      </c>
      <c r="F85" s="2">
        <v>192</v>
      </c>
      <c r="G85" s="2">
        <v>174</v>
      </c>
      <c r="H85" s="2">
        <v>0</v>
      </c>
      <c r="I85" s="2">
        <v>0</v>
      </c>
      <c r="J85" s="2">
        <f>ABS(F85-E85)</f>
        <v>21</v>
      </c>
      <c r="K85" s="29">
        <f>J85/E85</f>
        <v>0.12280701754385964</v>
      </c>
      <c r="L85" s="2">
        <f>ABS(G85-E85)</f>
        <v>3</v>
      </c>
      <c r="M85" s="50">
        <f>(L85/E85)</f>
        <v>1.7543859649122806E-2</v>
      </c>
      <c r="N85" s="2">
        <v>165</v>
      </c>
      <c r="O85" s="11">
        <f t="shared" si="2"/>
        <v>6</v>
      </c>
      <c r="P85" s="29">
        <f t="shared" si="3"/>
        <v>3.5087719298245612E-2</v>
      </c>
    </row>
    <row r="86" spans="1:16" x14ac:dyDescent="0.35">
      <c r="A86" s="2" t="s">
        <v>40</v>
      </c>
      <c r="B86" s="2" t="s">
        <v>41</v>
      </c>
      <c r="C86" s="2" t="s">
        <v>38</v>
      </c>
      <c r="D86" s="2" t="s">
        <v>24</v>
      </c>
      <c r="E86" s="2">
        <v>233</v>
      </c>
      <c r="F86" s="2">
        <v>281</v>
      </c>
      <c r="G86" s="2">
        <v>242</v>
      </c>
      <c r="H86" s="2">
        <v>0</v>
      </c>
      <c r="I86" s="2">
        <v>0</v>
      </c>
      <c r="J86" s="2">
        <f>ABS(F86-E86)</f>
        <v>48</v>
      </c>
      <c r="K86" s="29">
        <f>J86/E86</f>
        <v>0.20600858369098712</v>
      </c>
      <c r="L86" s="2">
        <f>ABS(G86-E86)</f>
        <v>9</v>
      </c>
      <c r="M86" s="50">
        <f>(L86/E86)</f>
        <v>3.8626609442060089E-2</v>
      </c>
      <c r="N86" s="2">
        <v>224</v>
      </c>
      <c r="O86" s="11">
        <f t="shared" si="2"/>
        <v>9</v>
      </c>
      <c r="P86" s="29">
        <f t="shared" si="3"/>
        <v>3.8626609442060089E-2</v>
      </c>
    </row>
    <row r="87" spans="1:16" x14ac:dyDescent="0.35">
      <c r="A87" s="2" t="s">
        <v>40</v>
      </c>
      <c r="B87" s="2" t="s">
        <v>41</v>
      </c>
      <c r="C87" s="2" t="s">
        <v>38</v>
      </c>
      <c r="D87" s="2" t="s">
        <v>25</v>
      </c>
      <c r="E87" s="2">
        <v>202</v>
      </c>
      <c r="F87" s="2">
        <v>236</v>
      </c>
      <c r="G87" s="2">
        <v>205</v>
      </c>
      <c r="H87" s="2">
        <v>0</v>
      </c>
      <c r="I87" s="2">
        <v>0</v>
      </c>
      <c r="J87" s="2">
        <f>ABS(F87-E87)</f>
        <v>34</v>
      </c>
      <c r="K87" s="29">
        <f>J87/E87</f>
        <v>0.16831683168316833</v>
      </c>
      <c r="L87" s="2">
        <f>ABS(G87-E87)</f>
        <v>3</v>
      </c>
      <c r="M87" s="50">
        <f>(L87/E87)</f>
        <v>1.4851485148514851E-2</v>
      </c>
      <c r="N87" s="2">
        <v>211</v>
      </c>
      <c r="O87" s="11">
        <f t="shared" si="2"/>
        <v>9</v>
      </c>
      <c r="P87" s="29">
        <f t="shared" si="3"/>
        <v>4.4554455445544552E-2</v>
      </c>
    </row>
    <row r="88" spans="1:16" x14ac:dyDescent="0.35">
      <c r="A88" s="2" t="s">
        <v>40</v>
      </c>
      <c r="B88" s="2" t="s">
        <v>41</v>
      </c>
      <c r="C88" s="2" t="s">
        <v>38</v>
      </c>
      <c r="D88" s="2" t="s">
        <v>26</v>
      </c>
      <c r="E88" s="2">
        <v>227</v>
      </c>
      <c r="F88" s="2">
        <v>247</v>
      </c>
      <c r="G88" s="2">
        <v>213</v>
      </c>
      <c r="H88" s="2">
        <v>0</v>
      </c>
      <c r="I88" s="2">
        <v>0</v>
      </c>
      <c r="J88" s="2">
        <f>ABS(F88-E88)</f>
        <v>20</v>
      </c>
      <c r="K88" s="29">
        <f>J88/E88</f>
        <v>8.8105726872246701E-2</v>
      </c>
      <c r="L88" s="2">
        <f>ABS(G88-E88)</f>
        <v>14</v>
      </c>
      <c r="M88" s="50">
        <f>(L88/E88)</f>
        <v>6.1674008810572688E-2</v>
      </c>
      <c r="N88" s="2">
        <v>225</v>
      </c>
      <c r="O88" s="11">
        <f t="shared" si="2"/>
        <v>2</v>
      </c>
      <c r="P88" s="29">
        <f t="shared" si="3"/>
        <v>8.8105726872246704E-3</v>
      </c>
    </row>
    <row r="89" spans="1:16" x14ac:dyDescent="0.35">
      <c r="A89" s="2" t="s">
        <v>40</v>
      </c>
      <c r="B89" s="2" t="s">
        <v>41</v>
      </c>
      <c r="C89" s="2" t="s">
        <v>38</v>
      </c>
      <c r="D89" s="2" t="s">
        <v>27</v>
      </c>
      <c r="E89" s="2">
        <v>193</v>
      </c>
      <c r="F89" s="2">
        <v>243</v>
      </c>
      <c r="G89" s="2">
        <v>193</v>
      </c>
      <c r="H89" s="2">
        <v>0</v>
      </c>
      <c r="I89" s="2">
        <v>0</v>
      </c>
      <c r="J89" s="2">
        <f>ABS(F89-E89)</f>
        <v>50</v>
      </c>
      <c r="K89" s="29">
        <f>J89/E89</f>
        <v>0.25906735751295334</v>
      </c>
      <c r="L89" s="2">
        <f>ABS(G89-E89)</f>
        <v>0</v>
      </c>
      <c r="M89" s="50">
        <f>(L89/E89)</f>
        <v>0</v>
      </c>
      <c r="N89" s="2">
        <v>205</v>
      </c>
      <c r="O89" s="11">
        <f t="shared" si="2"/>
        <v>12</v>
      </c>
      <c r="P89" s="29">
        <f t="shared" si="3"/>
        <v>6.2176165803108807E-2</v>
      </c>
    </row>
    <row r="90" spans="1:16" x14ac:dyDescent="0.35">
      <c r="A90" s="2" t="s">
        <v>40</v>
      </c>
      <c r="B90" s="2" t="s">
        <v>41</v>
      </c>
      <c r="C90" s="2" t="s">
        <v>38</v>
      </c>
      <c r="D90" s="2" t="s">
        <v>28</v>
      </c>
      <c r="E90" s="2">
        <v>111</v>
      </c>
      <c r="F90" s="2">
        <v>140</v>
      </c>
      <c r="G90" s="2">
        <v>99</v>
      </c>
      <c r="H90" s="2">
        <v>0</v>
      </c>
      <c r="I90" s="2">
        <v>1</v>
      </c>
      <c r="J90" s="2">
        <f>ABS(F90-E90)</f>
        <v>29</v>
      </c>
      <c r="K90" s="29">
        <f>J90/E90</f>
        <v>0.26126126126126126</v>
      </c>
      <c r="L90" s="2">
        <f>ABS(G90-E90)</f>
        <v>12</v>
      </c>
      <c r="M90" s="50">
        <f>(L90/E90)</f>
        <v>0.10810810810810811</v>
      </c>
      <c r="N90" s="2">
        <v>129</v>
      </c>
      <c r="O90" s="11">
        <f t="shared" si="2"/>
        <v>18</v>
      </c>
      <c r="P90" s="29">
        <f t="shared" si="3"/>
        <v>0.16216216216216217</v>
      </c>
    </row>
    <row r="91" spans="1:16" x14ac:dyDescent="0.35">
      <c r="A91" s="2" t="s">
        <v>40</v>
      </c>
      <c r="B91" s="2" t="s">
        <v>41</v>
      </c>
      <c r="C91" s="2" t="s">
        <v>38</v>
      </c>
      <c r="D91" s="2" t="s">
        <v>29</v>
      </c>
      <c r="E91" s="2">
        <v>218</v>
      </c>
      <c r="F91" s="2">
        <v>294</v>
      </c>
      <c r="G91" s="2">
        <v>225</v>
      </c>
      <c r="H91" s="2">
        <v>0</v>
      </c>
      <c r="I91" s="2">
        <v>0</v>
      </c>
      <c r="J91" s="2">
        <f>ABS(F91-E91)</f>
        <v>76</v>
      </c>
      <c r="K91" s="29">
        <f>J91/E91</f>
        <v>0.34862385321100919</v>
      </c>
      <c r="L91" s="2">
        <f>ABS(G91-E91)</f>
        <v>7</v>
      </c>
      <c r="M91" s="50">
        <f>(L91/E91)</f>
        <v>3.2110091743119268E-2</v>
      </c>
      <c r="N91" s="2">
        <v>215</v>
      </c>
      <c r="O91" s="11">
        <f t="shared" si="2"/>
        <v>3</v>
      </c>
      <c r="P91" s="29">
        <f t="shared" si="3"/>
        <v>1.3761467889908258E-2</v>
      </c>
    </row>
    <row r="92" spans="1:16" x14ac:dyDescent="0.35">
      <c r="A92" s="2" t="s">
        <v>40</v>
      </c>
      <c r="B92" s="2" t="s">
        <v>41</v>
      </c>
      <c r="C92" s="2" t="s">
        <v>38</v>
      </c>
      <c r="D92" s="2" t="s">
        <v>30</v>
      </c>
      <c r="E92" s="2">
        <v>163</v>
      </c>
      <c r="F92" s="2">
        <v>191</v>
      </c>
      <c r="G92" s="2">
        <v>167</v>
      </c>
      <c r="H92" s="2">
        <v>0</v>
      </c>
      <c r="I92" s="2">
        <v>0</v>
      </c>
      <c r="J92" s="2">
        <f>ABS(F92-E92)</f>
        <v>28</v>
      </c>
      <c r="K92" s="29">
        <f>J92/E92</f>
        <v>0.17177914110429449</v>
      </c>
      <c r="L92" s="2">
        <f>ABS(G92-E92)</f>
        <v>4</v>
      </c>
      <c r="M92" s="50">
        <f>(L92/E92)</f>
        <v>2.4539877300613498E-2</v>
      </c>
      <c r="N92" s="2">
        <v>171</v>
      </c>
      <c r="O92" s="11">
        <f t="shared" si="2"/>
        <v>8</v>
      </c>
      <c r="P92" s="29">
        <f t="shared" si="3"/>
        <v>4.9079754601226995E-2</v>
      </c>
    </row>
    <row r="93" spans="1:16" x14ac:dyDescent="0.35">
      <c r="A93" s="2" t="s">
        <v>40</v>
      </c>
      <c r="B93" s="2" t="s">
        <v>41</v>
      </c>
      <c r="C93" s="2" t="s">
        <v>38</v>
      </c>
      <c r="D93" s="2" t="s">
        <v>31</v>
      </c>
      <c r="E93" s="2">
        <v>152</v>
      </c>
      <c r="F93" s="2">
        <v>165</v>
      </c>
      <c r="G93" s="2">
        <v>147</v>
      </c>
      <c r="H93" s="2">
        <v>0</v>
      </c>
      <c r="I93" s="2">
        <v>0</v>
      </c>
      <c r="J93" s="2">
        <f>ABS(F93-E93)</f>
        <v>13</v>
      </c>
      <c r="K93" s="29">
        <f>J93/E93</f>
        <v>8.5526315789473686E-2</v>
      </c>
      <c r="L93" s="2">
        <f>ABS(G93-E93)</f>
        <v>5</v>
      </c>
      <c r="M93" s="50">
        <f>(L93/E93)</f>
        <v>3.2894736842105261E-2</v>
      </c>
      <c r="N93" s="2">
        <v>158</v>
      </c>
      <c r="O93" s="11">
        <f t="shared" si="2"/>
        <v>6</v>
      </c>
      <c r="P93" s="29">
        <f t="shared" si="3"/>
        <v>3.9473684210526314E-2</v>
      </c>
    </row>
    <row r="94" spans="1:16" x14ac:dyDescent="0.35">
      <c r="A94" s="2" t="s">
        <v>40</v>
      </c>
      <c r="B94" s="2" t="s">
        <v>41</v>
      </c>
      <c r="C94" s="2" t="s">
        <v>38</v>
      </c>
      <c r="D94" s="2" t="s">
        <v>32</v>
      </c>
      <c r="E94" s="2">
        <v>157</v>
      </c>
      <c r="F94" s="2">
        <v>188</v>
      </c>
      <c r="G94" s="2">
        <v>141</v>
      </c>
      <c r="H94" s="2">
        <v>1</v>
      </c>
      <c r="I94" s="2">
        <v>0</v>
      </c>
      <c r="J94" s="2">
        <f>ABS(F94-E94)</f>
        <v>31</v>
      </c>
      <c r="K94" s="29">
        <f>J94/E94</f>
        <v>0.19745222929936307</v>
      </c>
      <c r="L94" s="2">
        <f>ABS(G94-E94)</f>
        <v>16</v>
      </c>
      <c r="M94" s="50">
        <f>(L94/E94)</f>
        <v>0.10191082802547771</v>
      </c>
      <c r="N94" s="2">
        <v>158</v>
      </c>
      <c r="O94" s="11">
        <f t="shared" si="2"/>
        <v>1</v>
      </c>
      <c r="P94" s="29">
        <f t="shared" si="3"/>
        <v>6.369426751592357E-3</v>
      </c>
    </row>
    <row r="95" spans="1:16" x14ac:dyDescent="0.35">
      <c r="A95" s="2" t="s">
        <v>40</v>
      </c>
      <c r="B95" s="2" t="s">
        <v>41</v>
      </c>
      <c r="C95" s="2" t="s">
        <v>38</v>
      </c>
      <c r="D95" s="2" t="s">
        <v>33</v>
      </c>
      <c r="E95" s="2">
        <v>157</v>
      </c>
      <c r="F95" s="2">
        <v>181</v>
      </c>
      <c r="G95" s="2">
        <v>156</v>
      </c>
      <c r="H95" s="2">
        <v>0</v>
      </c>
      <c r="I95" s="2">
        <v>0</v>
      </c>
      <c r="J95" s="2">
        <f>ABS(F95-E95)</f>
        <v>24</v>
      </c>
      <c r="K95" s="29">
        <f>J95/E95</f>
        <v>0.15286624203821655</v>
      </c>
      <c r="L95" s="2">
        <f>ABS(G95-E95)</f>
        <v>1</v>
      </c>
      <c r="M95" s="50">
        <f>(L95/E95)</f>
        <v>6.369426751592357E-3</v>
      </c>
      <c r="N95" s="2">
        <v>158</v>
      </c>
      <c r="O95" s="11">
        <f t="shared" si="2"/>
        <v>1</v>
      </c>
      <c r="P95" s="29">
        <f t="shared" si="3"/>
        <v>6.369426751592357E-3</v>
      </c>
    </row>
    <row r="96" spans="1:16" x14ac:dyDescent="0.35">
      <c r="A96" s="2" t="s">
        <v>40</v>
      </c>
      <c r="B96" s="2" t="s">
        <v>41</v>
      </c>
      <c r="C96" s="2" t="s">
        <v>38</v>
      </c>
      <c r="D96" s="2" t="s">
        <v>34</v>
      </c>
      <c r="E96" s="2">
        <v>174</v>
      </c>
      <c r="F96" s="2">
        <v>178</v>
      </c>
      <c r="G96" s="2">
        <v>160</v>
      </c>
      <c r="H96" s="2">
        <v>1</v>
      </c>
      <c r="I96" s="2">
        <v>0</v>
      </c>
      <c r="J96" s="2">
        <f>ABS(F96-E96)</f>
        <v>4</v>
      </c>
      <c r="K96" s="29">
        <f>J96/E96</f>
        <v>2.2988505747126436E-2</v>
      </c>
      <c r="L96" s="2">
        <f>ABS(G96-E96)</f>
        <v>14</v>
      </c>
      <c r="M96" s="50">
        <f>(L96/E96)</f>
        <v>8.0459770114942528E-2</v>
      </c>
      <c r="N96" s="2">
        <v>165</v>
      </c>
      <c r="O96" s="11">
        <f t="shared" si="2"/>
        <v>9</v>
      </c>
      <c r="P96" s="29">
        <f t="shared" si="3"/>
        <v>5.1724137931034482E-2</v>
      </c>
    </row>
    <row r="97" spans="1:16" x14ac:dyDescent="0.35">
      <c r="A97" s="2" t="s">
        <v>40</v>
      </c>
      <c r="B97" s="2" t="s">
        <v>41</v>
      </c>
      <c r="C97" s="2" t="s">
        <v>38</v>
      </c>
      <c r="D97" s="2" t="s">
        <v>35</v>
      </c>
      <c r="E97" s="2">
        <v>195</v>
      </c>
      <c r="F97" s="2">
        <v>225</v>
      </c>
      <c r="G97" s="2">
        <v>185</v>
      </c>
      <c r="H97" s="2">
        <v>0</v>
      </c>
      <c r="I97" s="2">
        <v>0</v>
      </c>
      <c r="J97" s="2">
        <f>ABS(F97-E97)</f>
        <v>30</v>
      </c>
      <c r="K97" s="29">
        <f>J97/E97</f>
        <v>0.15384615384615385</v>
      </c>
      <c r="L97" s="2">
        <f>ABS(G97-E97)</f>
        <v>10</v>
      </c>
      <c r="M97" s="50">
        <f>(L97/E97)</f>
        <v>5.128205128205128E-2</v>
      </c>
      <c r="N97" s="2">
        <v>189</v>
      </c>
      <c r="O97" s="11">
        <f t="shared" si="2"/>
        <v>6</v>
      </c>
      <c r="P97" s="29">
        <f t="shared" si="3"/>
        <v>3.0769230769230771E-2</v>
      </c>
    </row>
    <row r="98" spans="1:16" x14ac:dyDescent="0.35">
      <c r="A98" s="2" t="s">
        <v>42</v>
      </c>
      <c r="B98" s="2" t="s">
        <v>41</v>
      </c>
      <c r="C98" s="2" t="s">
        <v>11</v>
      </c>
      <c r="D98" s="2" t="s">
        <v>12</v>
      </c>
      <c r="E98" s="2">
        <v>77</v>
      </c>
      <c r="F98" s="2">
        <v>85</v>
      </c>
      <c r="G98" s="2">
        <v>82</v>
      </c>
      <c r="H98" s="2">
        <v>0</v>
      </c>
      <c r="I98" s="2">
        <v>0</v>
      </c>
      <c r="J98" s="2">
        <f>ABS(F98-E98)</f>
        <v>8</v>
      </c>
      <c r="K98" s="29">
        <f>J98/E98</f>
        <v>0.1038961038961039</v>
      </c>
      <c r="L98" s="2">
        <f>ABS(G98-E98)</f>
        <v>5</v>
      </c>
      <c r="M98" s="50">
        <f>(L98/E98)</f>
        <v>6.4935064935064929E-2</v>
      </c>
      <c r="N98" s="2">
        <v>82</v>
      </c>
      <c r="O98" s="11">
        <f t="shared" si="2"/>
        <v>5</v>
      </c>
      <c r="P98" s="29">
        <f t="shared" si="3"/>
        <v>6.4935064935064929E-2</v>
      </c>
    </row>
    <row r="99" spans="1:16" x14ac:dyDescent="0.35">
      <c r="A99" s="2" t="s">
        <v>42</v>
      </c>
      <c r="B99" s="2" t="s">
        <v>41</v>
      </c>
      <c r="C99" s="2" t="s">
        <v>11</v>
      </c>
      <c r="D99" s="2" t="s">
        <v>13</v>
      </c>
      <c r="E99" s="2">
        <v>105</v>
      </c>
      <c r="F99" s="2">
        <v>108</v>
      </c>
      <c r="G99" s="2">
        <v>112</v>
      </c>
      <c r="H99" s="2">
        <v>0</v>
      </c>
      <c r="I99" s="2">
        <v>0</v>
      </c>
      <c r="J99" s="2">
        <f>ABS(F99-E99)</f>
        <v>3</v>
      </c>
      <c r="K99" s="29">
        <f>J99/E99</f>
        <v>2.8571428571428571E-2</v>
      </c>
      <c r="L99" s="2">
        <f>ABS(G99-E99)</f>
        <v>7</v>
      </c>
      <c r="M99" s="50">
        <f>(L99/E99)</f>
        <v>6.6666666666666666E-2</v>
      </c>
      <c r="N99" s="2">
        <v>94</v>
      </c>
      <c r="O99" s="11">
        <f t="shared" si="2"/>
        <v>11</v>
      </c>
      <c r="P99" s="29">
        <f t="shared" si="3"/>
        <v>0.10476190476190476</v>
      </c>
    </row>
    <row r="100" spans="1:16" x14ac:dyDescent="0.35">
      <c r="A100" s="2" t="s">
        <v>42</v>
      </c>
      <c r="B100" s="2" t="s">
        <v>41</v>
      </c>
      <c r="C100" s="2" t="s">
        <v>11</v>
      </c>
      <c r="D100" s="2" t="s">
        <v>14</v>
      </c>
      <c r="E100" s="2">
        <v>48</v>
      </c>
      <c r="F100" s="2">
        <v>48</v>
      </c>
      <c r="G100" s="2">
        <v>46</v>
      </c>
      <c r="H100" s="2">
        <v>0</v>
      </c>
      <c r="I100" s="2">
        <v>1</v>
      </c>
      <c r="J100" s="2">
        <f>ABS(F100-E100)</f>
        <v>0</v>
      </c>
      <c r="K100" s="29">
        <f>J100/E100</f>
        <v>0</v>
      </c>
      <c r="L100" s="2">
        <f>ABS(G100-E100)</f>
        <v>2</v>
      </c>
      <c r="M100" s="50">
        <f>(L100/E100)</f>
        <v>4.1666666666666664E-2</v>
      </c>
      <c r="N100" s="2">
        <v>47</v>
      </c>
      <c r="O100" s="11">
        <f t="shared" si="2"/>
        <v>1</v>
      </c>
      <c r="P100" s="29">
        <f t="shared" si="3"/>
        <v>2.0833333333333332E-2</v>
      </c>
    </row>
    <row r="101" spans="1:16" x14ac:dyDescent="0.35">
      <c r="A101" s="2" t="s">
        <v>42</v>
      </c>
      <c r="B101" s="2" t="s">
        <v>41</v>
      </c>
      <c r="C101" s="2" t="s">
        <v>11</v>
      </c>
      <c r="D101" s="2" t="s">
        <v>15</v>
      </c>
      <c r="E101" s="2">
        <v>91</v>
      </c>
      <c r="F101" s="2">
        <v>97</v>
      </c>
      <c r="G101" s="2">
        <v>91</v>
      </c>
      <c r="H101" s="2">
        <v>0</v>
      </c>
      <c r="I101" s="2">
        <v>0</v>
      </c>
      <c r="J101" s="2">
        <f>ABS(F101-E101)</f>
        <v>6</v>
      </c>
      <c r="K101" s="29">
        <f>J101/E101</f>
        <v>6.5934065934065936E-2</v>
      </c>
      <c r="L101" s="2">
        <f>ABS(G101-E101)</f>
        <v>0</v>
      </c>
      <c r="M101" s="50">
        <f>(L101/E101)</f>
        <v>0</v>
      </c>
      <c r="N101" s="2">
        <v>92</v>
      </c>
      <c r="O101" s="11">
        <f t="shared" si="2"/>
        <v>1</v>
      </c>
      <c r="P101" s="29">
        <f t="shared" si="3"/>
        <v>1.098901098901099E-2</v>
      </c>
    </row>
    <row r="102" spans="1:16" x14ac:dyDescent="0.35">
      <c r="A102" s="2" t="s">
        <v>42</v>
      </c>
      <c r="B102" s="2" t="s">
        <v>41</v>
      </c>
      <c r="C102" s="2" t="s">
        <v>11</v>
      </c>
      <c r="D102" s="2" t="s">
        <v>16</v>
      </c>
      <c r="E102" s="2">
        <v>96</v>
      </c>
      <c r="F102" s="2">
        <v>86</v>
      </c>
      <c r="G102" s="2">
        <v>83</v>
      </c>
      <c r="H102" s="2">
        <v>1</v>
      </c>
      <c r="I102" s="2">
        <v>0</v>
      </c>
      <c r="J102" s="2">
        <f>ABS(F102-E102)</f>
        <v>10</v>
      </c>
      <c r="K102" s="29">
        <f>J102/E102</f>
        <v>0.10416666666666667</v>
      </c>
      <c r="L102" s="2">
        <f>ABS(G102-E102)</f>
        <v>13</v>
      </c>
      <c r="M102" s="50">
        <f>(L102/E102)</f>
        <v>0.13541666666666666</v>
      </c>
      <c r="N102" s="2">
        <v>86</v>
      </c>
      <c r="O102" s="11">
        <f t="shared" si="2"/>
        <v>10</v>
      </c>
      <c r="P102" s="29">
        <f t="shared" si="3"/>
        <v>0.10416666666666667</v>
      </c>
    </row>
    <row r="103" spans="1:16" x14ac:dyDescent="0.35">
      <c r="A103" s="2" t="s">
        <v>42</v>
      </c>
      <c r="B103" s="2" t="s">
        <v>41</v>
      </c>
      <c r="C103" s="2" t="s">
        <v>11</v>
      </c>
      <c r="D103" s="2" t="s">
        <v>17</v>
      </c>
      <c r="E103" s="2">
        <v>87</v>
      </c>
      <c r="F103" s="2">
        <v>79</v>
      </c>
      <c r="G103" s="2">
        <v>86</v>
      </c>
      <c r="H103" s="2">
        <v>0</v>
      </c>
      <c r="I103" s="2">
        <v>0</v>
      </c>
      <c r="J103" s="2">
        <f>ABS(F103-E103)</f>
        <v>8</v>
      </c>
      <c r="K103" s="29">
        <f>J103/E103</f>
        <v>9.1954022988505746E-2</v>
      </c>
      <c r="L103" s="2">
        <f>ABS(G103-E103)</f>
        <v>1</v>
      </c>
      <c r="M103" s="50">
        <f>(L103/E103)</f>
        <v>1.1494252873563218E-2</v>
      </c>
      <c r="N103" s="2">
        <v>85</v>
      </c>
      <c r="O103" s="11">
        <f t="shared" si="2"/>
        <v>2</v>
      </c>
      <c r="P103" s="29">
        <f t="shared" si="3"/>
        <v>2.2988505747126436E-2</v>
      </c>
    </row>
    <row r="104" spans="1:16" x14ac:dyDescent="0.35">
      <c r="A104" s="2" t="s">
        <v>42</v>
      </c>
      <c r="B104" s="2" t="s">
        <v>41</v>
      </c>
      <c r="C104" s="2" t="s">
        <v>11</v>
      </c>
      <c r="D104" s="2" t="s">
        <v>18</v>
      </c>
      <c r="E104" s="2">
        <v>75</v>
      </c>
      <c r="F104" s="2">
        <v>84</v>
      </c>
      <c r="G104" s="2">
        <v>72</v>
      </c>
      <c r="H104" s="2">
        <v>0</v>
      </c>
      <c r="I104" s="2">
        <v>0</v>
      </c>
      <c r="J104" s="2">
        <f>ABS(F104-E104)</f>
        <v>9</v>
      </c>
      <c r="K104" s="29">
        <f>J104/E104</f>
        <v>0.12</v>
      </c>
      <c r="L104" s="2">
        <f>ABS(G104-E104)</f>
        <v>3</v>
      </c>
      <c r="M104" s="50">
        <f>(L104/E104)</f>
        <v>0.04</v>
      </c>
      <c r="N104" s="2">
        <v>82</v>
      </c>
      <c r="O104" s="11">
        <f t="shared" si="2"/>
        <v>7</v>
      </c>
      <c r="P104" s="29">
        <f t="shared" si="3"/>
        <v>9.3333333333333338E-2</v>
      </c>
    </row>
    <row r="105" spans="1:16" x14ac:dyDescent="0.35">
      <c r="A105" s="2" t="s">
        <v>42</v>
      </c>
      <c r="B105" s="2" t="s">
        <v>41</v>
      </c>
      <c r="C105" s="2" t="s">
        <v>11</v>
      </c>
      <c r="D105" s="2" t="s">
        <v>19</v>
      </c>
      <c r="E105" s="2">
        <v>49</v>
      </c>
      <c r="F105" s="2">
        <v>48</v>
      </c>
      <c r="G105" s="2">
        <v>49</v>
      </c>
      <c r="H105" s="2">
        <v>0</v>
      </c>
      <c r="I105" s="2">
        <v>0</v>
      </c>
      <c r="J105" s="2">
        <f>ABS(F105-E105)</f>
        <v>1</v>
      </c>
      <c r="K105" s="29">
        <f>J105/E105</f>
        <v>2.0408163265306121E-2</v>
      </c>
      <c r="L105" s="2">
        <f>ABS(G105-E105)</f>
        <v>0</v>
      </c>
      <c r="M105" s="50">
        <f>(L105/E105)</f>
        <v>0</v>
      </c>
      <c r="N105" s="2">
        <v>55</v>
      </c>
      <c r="O105" s="11">
        <f t="shared" si="2"/>
        <v>6</v>
      </c>
      <c r="P105" s="29">
        <f t="shared" si="3"/>
        <v>0.12244897959183673</v>
      </c>
    </row>
    <row r="106" spans="1:16" x14ac:dyDescent="0.35">
      <c r="A106" s="2" t="s">
        <v>42</v>
      </c>
      <c r="B106" s="2" t="s">
        <v>41</v>
      </c>
      <c r="C106" s="2" t="s">
        <v>11</v>
      </c>
      <c r="D106" s="2" t="s">
        <v>20</v>
      </c>
      <c r="E106" s="2">
        <v>63</v>
      </c>
      <c r="F106" s="2">
        <v>69</v>
      </c>
      <c r="G106" s="2">
        <v>63</v>
      </c>
      <c r="H106" s="2">
        <v>0</v>
      </c>
      <c r="I106" s="2">
        <v>0</v>
      </c>
      <c r="J106" s="2">
        <f>ABS(F106-E106)</f>
        <v>6</v>
      </c>
      <c r="K106" s="29">
        <f>J106/E106</f>
        <v>9.5238095238095233E-2</v>
      </c>
      <c r="L106" s="2">
        <f>ABS(G106-E106)</f>
        <v>0</v>
      </c>
      <c r="M106" s="50">
        <f>(L106/E106)</f>
        <v>0</v>
      </c>
      <c r="N106" s="2">
        <v>64</v>
      </c>
      <c r="O106" s="11">
        <f t="shared" si="2"/>
        <v>1</v>
      </c>
      <c r="P106" s="29">
        <f t="shared" si="3"/>
        <v>1.5873015873015872E-2</v>
      </c>
    </row>
    <row r="107" spans="1:16" x14ac:dyDescent="0.35">
      <c r="A107" s="2" t="s">
        <v>42</v>
      </c>
      <c r="B107" s="2" t="s">
        <v>41</v>
      </c>
      <c r="C107" s="2" t="s">
        <v>11</v>
      </c>
      <c r="D107" s="2" t="s">
        <v>21</v>
      </c>
      <c r="E107" s="2">
        <v>59</v>
      </c>
      <c r="F107" s="2">
        <v>61</v>
      </c>
      <c r="G107" s="2">
        <v>56</v>
      </c>
      <c r="H107" s="2">
        <v>0</v>
      </c>
      <c r="I107" s="2">
        <v>0</v>
      </c>
      <c r="J107" s="2">
        <f>ABS(F107-E107)</f>
        <v>2</v>
      </c>
      <c r="K107" s="29">
        <f>J107/E107</f>
        <v>3.3898305084745763E-2</v>
      </c>
      <c r="L107" s="2">
        <f>ABS(G107-E107)</f>
        <v>3</v>
      </c>
      <c r="M107" s="50">
        <f>(L107/E107)</f>
        <v>5.0847457627118647E-2</v>
      </c>
      <c r="N107" s="2">
        <v>57</v>
      </c>
      <c r="O107" s="11">
        <f t="shared" si="2"/>
        <v>2</v>
      </c>
      <c r="P107" s="29">
        <f t="shared" si="3"/>
        <v>3.3898305084745763E-2</v>
      </c>
    </row>
    <row r="108" spans="1:16" x14ac:dyDescent="0.35">
      <c r="A108" s="2" t="s">
        <v>42</v>
      </c>
      <c r="B108" s="2" t="s">
        <v>41</v>
      </c>
      <c r="C108" s="2" t="s">
        <v>11</v>
      </c>
      <c r="D108" s="2" t="s">
        <v>22</v>
      </c>
      <c r="E108" s="2">
        <v>70</v>
      </c>
      <c r="F108" s="2">
        <v>85</v>
      </c>
      <c r="G108" s="2">
        <v>65</v>
      </c>
      <c r="H108" s="2">
        <v>0</v>
      </c>
      <c r="I108" s="2">
        <v>0</v>
      </c>
      <c r="J108" s="2">
        <f>ABS(F108-E108)</f>
        <v>15</v>
      </c>
      <c r="K108" s="29">
        <f>J108/E108</f>
        <v>0.21428571428571427</v>
      </c>
      <c r="L108" s="2">
        <f>ABS(G108-E108)</f>
        <v>5</v>
      </c>
      <c r="M108" s="50">
        <f>(L108/E108)</f>
        <v>7.1428571428571425E-2</v>
      </c>
      <c r="N108" s="2">
        <v>75</v>
      </c>
      <c r="O108" s="11">
        <f t="shared" si="2"/>
        <v>5</v>
      </c>
      <c r="P108" s="29">
        <f t="shared" si="3"/>
        <v>7.1428571428571425E-2</v>
      </c>
    </row>
    <row r="109" spans="1:16" x14ac:dyDescent="0.35">
      <c r="A109" s="2" t="s">
        <v>42</v>
      </c>
      <c r="B109" s="2" t="s">
        <v>41</v>
      </c>
      <c r="C109" s="2" t="s">
        <v>11</v>
      </c>
      <c r="D109" s="2" t="s">
        <v>23</v>
      </c>
      <c r="E109" s="2">
        <v>67</v>
      </c>
      <c r="F109" s="2">
        <v>65</v>
      </c>
      <c r="G109" s="2">
        <v>70</v>
      </c>
      <c r="H109" s="2">
        <v>0</v>
      </c>
      <c r="I109" s="2">
        <v>0</v>
      </c>
      <c r="J109" s="2">
        <f>ABS(F109-E109)</f>
        <v>2</v>
      </c>
      <c r="K109" s="29">
        <f>J109/E109</f>
        <v>2.9850746268656716E-2</v>
      </c>
      <c r="L109" s="2">
        <f>ABS(G109-E109)</f>
        <v>3</v>
      </c>
      <c r="M109" s="50">
        <f>(L109/E109)</f>
        <v>4.4776119402985072E-2</v>
      </c>
      <c r="N109" s="2">
        <v>65</v>
      </c>
      <c r="O109" s="11">
        <f t="shared" si="2"/>
        <v>2</v>
      </c>
      <c r="P109" s="29">
        <f t="shared" si="3"/>
        <v>2.9850746268656716E-2</v>
      </c>
    </row>
    <row r="110" spans="1:16" x14ac:dyDescent="0.35">
      <c r="A110" s="2" t="s">
        <v>42</v>
      </c>
      <c r="B110" s="2" t="s">
        <v>41</v>
      </c>
      <c r="C110" s="2" t="s">
        <v>11</v>
      </c>
      <c r="D110" s="2" t="s">
        <v>24</v>
      </c>
      <c r="E110" s="2">
        <v>93</v>
      </c>
      <c r="F110" s="2">
        <v>93</v>
      </c>
      <c r="G110" s="2">
        <v>103</v>
      </c>
      <c r="H110" s="2">
        <v>0</v>
      </c>
      <c r="I110" s="2">
        <v>0</v>
      </c>
      <c r="J110" s="2">
        <f>ABS(F110-E110)</f>
        <v>0</v>
      </c>
      <c r="K110" s="29">
        <f>J110/E110</f>
        <v>0</v>
      </c>
      <c r="L110" s="2">
        <f>ABS(G110-E110)</f>
        <v>10</v>
      </c>
      <c r="M110" s="50">
        <f>(L110/E110)</f>
        <v>0.10752688172043011</v>
      </c>
      <c r="N110" s="2">
        <v>86</v>
      </c>
      <c r="O110" s="11">
        <f t="shared" si="2"/>
        <v>7</v>
      </c>
      <c r="P110" s="29">
        <f t="shared" si="3"/>
        <v>7.5268817204301078E-2</v>
      </c>
    </row>
    <row r="111" spans="1:16" x14ac:dyDescent="0.35">
      <c r="A111" s="2" t="s">
        <v>42</v>
      </c>
      <c r="B111" s="2" t="s">
        <v>41</v>
      </c>
      <c r="C111" s="2" t="s">
        <v>11</v>
      </c>
      <c r="D111" s="2" t="s">
        <v>25</v>
      </c>
      <c r="E111" s="2">
        <v>88</v>
      </c>
      <c r="F111" s="2">
        <v>104</v>
      </c>
      <c r="G111" s="2">
        <v>94</v>
      </c>
      <c r="H111" s="2">
        <v>0</v>
      </c>
      <c r="I111" s="2">
        <v>0</v>
      </c>
      <c r="J111" s="2">
        <f>ABS(F111-E111)</f>
        <v>16</v>
      </c>
      <c r="K111" s="29">
        <f>J111/E111</f>
        <v>0.18181818181818182</v>
      </c>
      <c r="L111" s="2">
        <f>ABS(G111-E111)</f>
        <v>6</v>
      </c>
      <c r="M111" s="50">
        <f>(L111/E111)</f>
        <v>6.8181818181818177E-2</v>
      </c>
      <c r="N111" s="2">
        <v>92</v>
      </c>
      <c r="O111" s="11">
        <f t="shared" si="2"/>
        <v>4</v>
      </c>
      <c r="P111" s="29">
        <f t="shared" si="3"/>
        <v>4.5454545454545456E-2</v>
      </c>
    </row>
    <row r="112" spans="1:16" x14ac:dyDescent="0.35">
      <c r="A112" s="2" t="s">
        <v>42</v>
      </c>
      <c r="B112" s="2" t="s">
        <v>41</v>
      </c>
      <c r="C112" s="2" t="s">
        <v>11</v>
      </c>
      <c r="D112" s="2" t="s">
        <v>26</v>
      </c>
      <c r="E112" s="2">
        <v>100</v>
      </c>
      <c r="F112" s="2">
        <v>98</v>
      </c>
      <c r="G112" s="2">
        <v>110</v>
      </c>
      <c r="H112" s="2">
        <v>0</v>
      </c>
      <c r="I112" s="2">
        <v>0</v>
      </c>
      <c r="J112" s="2">
        <f>ABS(F112-E112)</f>
        <v>2</v>
      </c>
      <c r="K112" s="29">
        <f>J112/E112</f>
        <v>0.02</v>
      </c>
      <c r="L112" s="2">
        <f>ABS(G112-E112)</f>
        <v>10</v>
      </c>
      <c r="M112" s="50">
        <f>(L112/E112)</f>
        <v>0.1</v>
      </c>
      <c r="N112" s="2">
        <v>99</v>
      </c>
      <c r="O112" s="11">
        <f t="shared" si="2"/>
        <v>1</v>
      </c>
      <c r="P112" s="29">
        <f t="shared" si="3"/>
        <v>0.01</v>
      </c>
    </row>
    <row r="113" spans="1:16" x14ac:dyDescent="0.35">
      <c r="A113" s="2" t="s">
        <v>42</v>
      </c>
      <c r="B113" s="2" t="s">
        <v>41</v>
      </c>
      <c r="C113" s="2" t="s">
        <v>11</v>
      </c>
      <c r="D113" s="2" t="s">
        <v>27</v>
      </c>
      <c r="E113" s="2">
        <v>95</v>
      </c>
      <c r="F113" s="2">
        <v>96</v>
      </c>
      <c r="G113" s="2">
        <v>95</v>
      </c>
      <c r="H113" s="2">
        <v>0</v>
      </c>
      <c r="I113" s="2">
        <v>0</v>
      </c>
      <c r="J113" s="2">
        <f>ABS(F113-E113)</f>
        <v>1</v>
      </c>
      <c r="K113" s="29">
        <f>J113/E113</f>
        <v>1.0526315789473684E-2</v>
      </c>
      <c r="L113" s="2">
        <f>ABS(G113-E113)</f>
        <v>0</v>
      </c>
      <c r="M113" s="50">
        <f>(L113/E113)</f>
        <v>0</v>
      </c>
      <c r="N113" s="2">
        <v>94</v>
      </c>
      <c r="O113" s="11">
        <f t="shared" si="2"/>
        <v>1</v>
      </c>
      <c r="P113" s="29">
        <f t="shared" si="3"/>
        <v>1.0526315789473684E-2</v>
      </c>
    </row>
    <row r="114" spans="1:16" x14ac:dyDescent="0.35">
      <c r="A114" s="2" t="s">
        <v>42</v>
      </c>
      <c r="B114" s="2" t="s">
        <v>41</v>
      </c>
      <c r="C114" s="2" t="s">
        <v>11</v>
      </c>
      <c r="D114" s="2" t="s">
        <v>28</v>
      </c>
      <c r="E114" s="2">
        <v>76</v>
      </c>
      <c r="F114" s="2">
        <v>72</v>
      </c>
      <c r="G114" s="2">
        <v>80</v>
      </c>
      <c r="H114" s="2">
        <v>0</v>
      </c>
      <c r="I114" s="2">
        <v>0</v>
      </c>
      <c r="J114" s="2">
        <f>ABS(F114-E114)</f>
        <v>4</v>
      </c>
      <c r="K114" s="29">
        <f>J114/E114</f>
        <v>5.2631578947368418E-2</v>
      </c>
      <c r="L114" s="2">
        <f>ABS(G114-E114)</f>
        <v>4</v>
      </c>
      <c r="M114" s="50">
        <f>(L114/E114)</f>
        <v>5.2631578947368418E-2</v>
      </c>
      <c r="N114" s="2">
        <v>76</v>
      </c>
      <c r="O114" s="11">
        <f t="shared" si="2"/>
        <v>0</v>
      </c>
      <c r="P114" s="29">
        <f t="shared" si="3"/>
        <v>0</v>
      </c>
    </row>
    <row r="115" spans="1:16" x14ac:dyDescent="0.35">
      <c r="A115" s="2" t="s">
        <v>42</v>
      </c>
      <c r="B115" s="2" t="s">
        <v>41</v>
      </c>
      <c r="C115" s="2" t="s">
        <v>11</v>
      </c>
      <c r="D115" s="2" t="s">
        <v>29</v>
      </c>
      <c r="E115" s="2">
        <v>74</v>
      </c>
      <c r="F115" s="2">
        <v>86</v>
      </c>
      <c r="G115" s="2">
        <v>76</v>
      </c>
      <c r="H115" s="2">
        <v>0</v>
      </c>
      <c r="I115" s="2">
        <v>0</v>
      </c>
      <c r="J115" s="2">
        <f>ABS(F115-E115)</f>
        <v>12</v>
      </c>
      <c r="K115" s="29">
        <f>J115/E115</f>
        <v>0.16216216216216217</v>
      </c>
      <c r="L115" s="2">
        <f>ABS(G115-E115)</f>
        <v>2</v>
      </c>
      <c r="M115" s="50">
        <f>(L115/E115)</f>
        <v>2.7027027027027029E-2</v>
      </c>
      <c r="N115" s="2">
        <v>80</v>
      </c>
      <c r="O115" s="11">
        <f t="shared" si="2"/>
        <v>6</v>
      </c>
      <c r="P115" s="29">
        <f t="shared" si="3"/>
        <v>8.1081081081081086E-2</v>
      </c>
    </row>
    <row r="116" spans="1:16" x14ac:dyDescent="0.35">
      <c r="A116" s="2" t="s">
        <v>42</v>
      </c>
      <c r="B116" s="2" t="s">
        <v>41</v>
      </c>
      <c r="C116" s="2" t="s">
        <v>11</v>
      </c>
      <c r="D116" s="2" t="s">
        <v>30</v>
      </c>
      <c r="E116" s="2">
        <v>79</v>
      </c>
      <c r="F116" s="2">
        <v>77</v>
      </c>
      <c r="G116" s="2">
        <v>73</v>
      </c>
      <c r="H116" s="2">
        <v>0</v>
      </c>
      <c r="I116" s="2">
        <v>0</v>
      </c>
      <c r="J116" s="2">
        <f>ABS(F116-E116)</f>
        <v>2</v>
      </c>
      <c r="K116" s="29">
        <f>J116/E116</f>
        <v>2.5316455696202531E-2</v>
      </c>
      <c r="L116" s="2">
        <f>ABS(G116-E116)</f>
        <v>6</v>
      </c>
      <c r="M116" s="50">
        <f>(L116/E116)</f>
        <v>7.5949367088607597E-2</v>
      </c>
      <c r="N116" s="2">
        <v>71</v>
      </c>
      <c r="O116" s="11">
        <f t="shared" si="2"/>
        <v>8</v>
      </c>
      <c r="P116" s="29">
        <f t="shared" si="3"/>
        <v>0.10126582278481013</v>
      </c>
    </row>
    <row r="117" spans="1:16" x14ac:dyDescent="0.35">
      <c r="A117" s="2" t="s">
        <v>42</v>
      </c>
      <c r="B117" s="2" t="s">
        <v>41</v>
      </c>
      <c r="C117" s="2" t="s">
        <v>11</v>
      </c>
      <c r="D117" s="2" t="s">
        <v>31</v>
      </c>
      <c r="E117" s="2">
        <v>76</v>
      </c>
      <c r="F117" s="2">
        <v>90</v>
      </c>
      <c r="G117" s="2">
        <v>78</v>
      </c>
      <c r="H117" s="2">
        <v>0</v>
      </c>
      <c r="I117" s="2">
        <v>0</v>
      </c>
      <c r="J117" s="2">
        <f>ABS(F117-E117)</f>
        <v>14</v>
      </c>
      <c r="K117" s="29">
        <f>J117/E117</f>
        <v>0.18421052631578946</v>
      </c>
      <c r="L117" s="2">
        <f>ABS(G117-E117)</f>
        <v>2</v>
      </c>
      <c r="M117" s="50">
        <f>(L117/E117)</f>
        <v>2.6315789473684209E-2</v>
      </c>
      <c r="N117" s="2">
        <v>76</v>
      </c>
      <c r="O117" s="11">
        <f t="shared" si="2"/>
        <v>0</v>
      </c>
      <c r="P117" s="29">
        <f t="shared" si="3"/>
        <v>0</v>
      </c>
    </row>
    <row r="118" spans="1:16" x14ac:dyDescent="0.35">
      <c r="A118" s="2" t="s">
        <v>42</v>
      </c>
      <c r="B118" s="2" t="s">
        <v>41</v>
      </c>
      <c r="C118" s="2" t="s">
        <v>11</v>
      </c>
      <c r="D118" s="2" t="s">
        <v>32</v>
      </c>
      <c r="E118" s="2">
        <v>59</v>
      </c>
      <c r="F118" s="2">
        <v>67</v>
      </c>
      <c r="G118" s="2">
        <v>59</v>
      </c>
      <c r="H118" s="2">
        <v>0</v>
      </c>
      <c r="I118" s="2">
        <v>0</v>
      </c>
      <c r="J118" s="2">
        <f>ABS(F118-E118)</f>
        <v>8</v>
      </c>
      <c r="K118" s="29">
        <f>J118/E118</f>
        <v>0.13559322033898305</v>
      </c>
      <c r="L118" s="2">
        <f>ABS(G118-E118)</f>
        <v>0</v>
      </c>
      <c r="M118" s="50">
        <f>(L118/E118)</f>
        <v>0</v>
      </c>
      <c r="N118" s="2">
        <v>64</v>
      </c>
      <c r="O118" s="11">
        <f t="shared" si="2"/>
        <v>5</v>
      </c>
      <c r="P118" s="29">
        <f t="shared" si="3"/>
        <v>8.4745762711864403E-2</v>
      </c>
    </row>
    <row r="119" spans="1:16" x14ac:dyDescent="0.35">
      <c r="A119" s="2" t="s">
        <v>42</v>
      </c>
      <c r="B119" s="2" t="s">
        <v>41</v>
      </c>
      <c r="C119" s="2" t="s">
        <v>11</v>
      </c>
      <c r="D119" s="2" t="s">
        <v>33</v>
      </c>
      <c r="E119" s="2">
        <v>67</v>
      </c>
      <c r="F119" s="2">
        <v>74</v>
      </c>
      <c r="G119" s="2">
        <v>70</v>
      </c>
      <c r="H119" s="2">
        <v>0</v>
      </c>
      <c r="I119" s="2">
        <v>0</v>
      </c>
      <c r="J119" s="2">
        <f>ABS(F119-E119)</f>
        <v>7</v>
      </c>
      <c r="K119" s="29">
        <f>J119/E119</f>
        <v>0.1044776119402985</v>
      </c>
      <c r="L119" s="2">
        <f>ABS(G119-E119)</f>
        <v>3</v>
      </c>
      <c r="M119" s="50">
        <f>(L119/E119)</f>
        <v>4.4776119402985072E-2</v>
      </c>
      <c r="N119" s="2">
        <v>68</v>
      </c>
      <c r="O119" s="11">
        <f t="shared" si="2"/>
        <v>1</v>
      </c>
      <c r="P119" s="29">
        <f t="shared" si="3"/>
        <v>1.4925373134328358E-2</v>
      </c>
    </row>
    <row r="120" spans="1:16" x14ac:dyDescent="0.35">
      <c r="A120" s="2" t="s">
        <v>42</v>
      </c>
      <c r="B120" s="2" t="s">
        <v>41</v>
      </c>
      <c r="C120" s="2" t="s">
        <v>11</v>
      </c>
      <c r="D120" s="2" t="s">
        <v>34</v>
      </c>
      <c r="E120" s="2">
        <v>64</v>
      </c>
      <c r="F120" s="2">
        <v>54</v>
      </c>
      <c r="G120" s="2">
        <v>70</v>
      </c>
      <c r="H120" s="2">
        <v>0</v>
      </c>
      <c r="I120" s="2">
        <v>0</v>
      </c>
      <c r="J120" s="2">
        <f>ABS(F120-E120)</f>
        <v>10</v>
      </c>
      <c r="K120" s="29">
        <f>J120/E120</f>
        <v>0.15625</v>
      </c>
      <c r="L120" s="2">
        <f>ABS(G120-E120)</f>
        <v>6</v>
      </c>
      <c r="M120" s="50">
        <f>(L120/E120)</f>
        <v>9.375E-2</v>
      </c>
      <c r="N120" s="2">
        <v>63</v>
      </c>
      <c r="O120" s="11">
        <f t="shared" si="2"/>
        <v>1</v>
      </c>
      <c r="P120" s="29">
        <f t="shared" si="3"/>
        <v>1.5625E-2</v>
      </c>
    </row>
    <row r="121" spans="1:16" x14ac:dyDescent="0.35">
      <c r="A121" s="2" t="s">
        <v>42</v>
      </c>
      <c r="B121" s="2" t="s">
        <v>41</v>
      </c>
      <c r="C121" s="2" t="s">
        <v>11</v>
      </c>
      <c r="D121" s="2" t="s">
        <v>35</v>
      </c>
      <c r="E121" s="2">
        <v>71</v>
      </c>
      <c r="F121" s="2">
        <v>73</v>
      </c>
      <c r="G121" s="2">
        <v>70</v>
      </c>
      <c r="H121" s="2">
        <v>1</v>
      </c>
      <c r="I121" s="2">
        <v>0</v>
      </c>
      <c r="J121" s="2">
        <f>ABS(F121-E121)</f>
        <v>2</v>
      </c>
      <c r="K121" s="29">
        <f>J121/E121</f>
        <v>2.8169014084507043E-2</v>
      </c>
      <c r="L121" s="2">
        <f>ABS(G121-E121)</f>
        <v>1</v>
      </c>
      <c r="M121" s="50">
        <f>(L121/E121)</f>
        <v>1.4084507042253521E-2</v>
      </c>
      <c r="N121" s="2">
        <v>70</v>
      </c>
      <c r="O121" s="11">
        <f t="shared" si="2"/>
        <v>1</v>
      </c>
      <c r="P121" s="29">
        <f t="shared" si="3"/>
        <v>1.4084507042253521E-2</v>
      </c>
    </row>
    <row r="122" spans="1:16" x14ac:dyDescent="0.35">
      <c r="A122" s="2" t="s">
        <v>42</v>
      </c>
      <c r="B122" s="2" t="s">
        <v>41</v>
      </c>
      <c r="C122" s="2" t="s">
        <v>36</v>
      </c>
      <c r="D122" s="2" t="s">
        <v>12</v>
      </c>
      <c r="E122" s="2">
        <v>175</v>
      </c>
      <c r="F122" s="2">
        <v>196</v>
      </c>
      <c r="G122" s="2">
        <v>172</v>
      </c>
      <c r="H122" s="2">
        <v>0</v>
      </c>
      <c r="I122" s="2">
        <v>0</v>
      </c>
      <c r="J122" s="2">
        <f>ABS(F122-E122)</f>
        <v>21</v>
      </c>
      <c r="K122" s="29">
        <f>J122/E122</f>
        <v>0.12</v>
      </c>
      <c r="L122" s="2">
        <f>ABS(G122-E122)</f>
        <v>3</v>
      </c>
      <c r="M122" s="50">
        <f>(L122/E122)</f>
        <v>1.7142857142857144E-2</v>
      </c>
      <c r="N122" s="2">
        <v>178</v>
      </c>
      <c r="O122" s="11">
        <f t="shared" si="2"/>
        <v>3</v>
      </c>
      <c r="P122" s="29">
        <f t="shared" si="3"/>
        <v>1.7142857142857144E-2</v>
      </c>
    </row>
    <row r="123" spans="1:16" x14ac:dyDescent="0.35">
      <c r="A123" s="2" t="s">
        <v>42</v>
      </c>
      <c r="B123" s="2" t="s">
        <v>41</v>
      </c>
      <c r="C123" s="2" t="s">
        <v>36</v>
      </c>
      <c r="D123" s="2" t="s">
        <v>13</v>
      </c>
      <c r="E123" s="2">
        <v>220</v>
      </c>
      <c r="F123" s="2">
        <v>255</v>
      </c>
      <c r="G123" s="2">
        <v>232</v>
      </c>
      <c r="H123" s="2">
        <v>1</v>
      </c>
      <c r="I123" s="2">
        <v>0</v>
      </c>
      <c r="J123" s="2">
        <f>ABS(F123-E123)</f>
        <v>35</v>
      </c>
      <c r="K123" s="29">
        <f>J123/E123</f>
        <v>0.15909090909090909</v>
      </c>
      <c r="L123" s="2">
        <f>ABS(G123-E123)</f>
        <v>12</v>
      </c>
      <c r="M123" s="50">
        <f>(L123/E123)</f>
        <v>5.4545454545454543E-2</v>
      </c>
      <c r="N123" s="2">
        <v>223</v>
      </c>
      <c r="O123" s="11">
        <f t="shared" si="2"/>
        <v>3</v>
      </c>
      <c r="P123" s="29">
        <f t="shared" si="3"/>
        <v>1.3636363636363636E-2</v>
      </c>
    </row>
    <row r="124" spans="1:16" x14ac:dyDescent="0.35">
      <c r="A124" s="2" t="s">
        <v>42</v>
      </c>
      <c r="B124" s="2" t="s">
        <v>41</v>
      </c>
      <c r="C124" s="2" t="s">
        <v>36</v>
      </c>
      <c r="D124" s="2" t="s">
        <v>14</v>
      </c>
      <c r="E124" s="2">
        <v>202</v>
      </c>
      <c r="F124" s="2">
        <v>207</v>
      </c>
      <c r="G124" s="2">
        <v>196</v>
      </c>
      <c r="H124" s="2">
        <v>0</v>
      </c>
      <c r="I124" s="2">
        <v>0</v>
      </c>
      <c r="J124" s="2">
        <f>ABS(F124-E124)</f>
        <v>5</v>
      </c>
      <c r="K124" s="29">
        <f>J124/E124</f>
        <v>2.4752475247524754E-2</v>
      </c>
      <c r="L124" s="2">
        <f>ABS(G124-E124)</f>
        <v>6</v>
      </c>
      <c r="M124" s="50">
        <f>(L124/E124)</f>
        <v>2.9702970297029702E-2</v>
      </c>
      <c r="N124" s="2">
        <v>205</v>
      </c>
      <c r="O124" s="11">
        <f t="shared" si="2"/>
        <v>3</v>
      </c>
      <c r="P124" s="29">
        <f t="shared" si="3"/>
        <v>1.4851485148514851E-2</v>
      </c>
    </row>
    <row r="125" spans="1:16" x14ac:dyDescent="0.35">
      <c r="A125" s="2" t="s">
        <v>42</v>
      </c>
      <c r="B125" s="2" t="s">
        <v>41</v>
      </c>
      <c r="C125" s="2" t="s">
        <v>36</v>
      </c>
      <c r="D125" s="2" t="s">
        <v>15</v>
      </c>
      <c r="E125" s="2">
        <v>201</v>
      </c>
      <c r="F125" s="2">
        <v>226</v>
      </c>
      <c r="G125" s="2">
        <v>218</v>
      </c>
      <c r="H125" s="2">
        <v>0</v>
      </c>
      <c r="I125" s="2">
        <v>0</v>
      </c>
      <c r="J125" s="2">
        <f>ABS(F125-E125)</f>
        <v>25</v>
      </c>
      <c r="K125" s="29">
        <f>J125/E125</f>
        <v>0.12437810945273632</v>
      </c>
      <c r="L125" s="2">
        <f>ABS(G125-E125)</f>
        <v>17</v>
      </c>
      <c r="M125" s="50">
        <f>(L125/E125)</f>
        <v>8.45771144278607E-2</v>
      </c>
      <c r="N125" s="2">
        <v>197</v>
      </c>
      <c r="O125" s="11">
        <f t="shared" si="2"/>
        <v>4</v>
      </c>
      <c r="P125" s="29">
        <f t="shared" si="3"/>
        <v>1.9900497512437811E-2</v>
      </c>
    </row>
    <row r="126" spans="1:16" x14ac:dyDescent="0.35">
      <c r="A126" s="2" t="s">
        <v>42</v>
      </c>
      <c r="B126" s="2" t="s">
        <v>41</v>
      </c>
      <c r="C126" s="2" t="s">
        <v>36</v>
      </c>
      <c r="D126" s="2" t="s">
        <v>16</v>
      </c>
      <c r="E126" s="2">
        <v>188</v>
      </c>
      <c r="F126" s="2">
        <v>172</v>
      </c>
      <c r="G126" s="2">
        <v>195</v>
      </c>
      <c r="H126" s="2">
        <v>0</v>
      </c>
      <c r="I126" s="2">
        <v>0</v>
      </c>
      <c r="J126" s="2">
        <f>ABS(F126-E126)</f>
        <v>16</v>
      </c>
      <c r="K126" s="29">
        <f>J126/E126</f>
        <v>8.5106382978723402E-2</v>
      </c>
      <c r="L126" s="2">
        <f>ABS(G126-E126)</f>
        <v>7</v>
      </c>
      <c r="M126" s="50">
        <f>(L126/E126)</f>
        <v>3.7234042553191488E-2</v>
      </c>
      <c r="N126" s="2">
        <v>175</v>
      </c>
      <c r="O126" s="11">
        <f t="shared" si="2"/>
        <v>13</v>
      </c>
      <c r="P126" s="29">
        <f t="shared" si="3"/>
        <v>6.9148936170212769E-2</v>
      </c>
    </row>
    <row r="127" spans="1:16" x14ac:dyDescent="0.35">
      <c r="A127" s="2" t="s">
        <v>42</v>
      </c>
      <c r="B127" s="2" t="s">
        <v>41</v>
      </c>
      <c r="C127" s="2" t="s">
        <v>36</v>
      </c>
      <c r="D127" s="2" t="s">
        <v>17</v>
      </c>
      <c r="E127" s="2">
        <v>168</v>
      </c>
      <c r="F127" s="2">
        <v>181</v>
      </c>
      <c r="G127" s="2">
        <v>157</v>
      </c>
      <c r="H127" s="2">
        <v>0</v>
      </c>
      <c r="I127" s="2">
        <v>0</v>
      </c>
      <c r="J127" s="2">
        <f>ABS(F127-E127)</f>
        <v>13</v>
      </c>
      <c r="K127" s="29">
        <f>J127/E127</f>
        <v>7.7380952380952384E-2</v>
      </c>
      <c r="L127" s="2">
        <f>ABS(G127-E127)</f>
        <v>11</v>
      </c>
      <c r="M127" s="50">
        <f>(L127/E127)</f>
        <v>6.5476190476190479E-2</v>
      </c>
      <c r="N127" s="2">
        <v>168</v>
      </c>
      <c r="O127" s="11">
        <f t="shared" si="2"/>
        <v>0</v>
      </c>
      <c r="P127" s="29">
        <f t="shared" si="3"/>
        <v>0</v>
      </c>
    </row>
    <row r="128" spans="1:16" x14ac:dyDescent="0.35">
      <c r="A128" s="2" t="s">
        <v>42</v>
      </c>
      <c r="B128" s="2" t="s">
        <v>41</v>
      </c>
      <c r="C128" s="2" t="s">
        <v>36</v>
      </c>
      <c r="D128" s="2" t="s">
        <v>18</v>
      </c>
      <c r="E128" s="2">
        <v>142</v>
      </c>
      <c r="F128" s="2">
        <v>143</v>
      </c>
      <c r="G128" s="2">
        <v>137</v>
      </c>
      <c r="H128" s="2">
        <v>0</v>
      </c>
      <c r="I128" s="2">
        <v>0</v>
      </c>
      <c r="J128" s="2">
        <f>ABS(F128-E128)</f>
        <v>1</v>
      </c>
      <c r="K128" s="29">
        <f>J128/E128</f>
        <v>7.0422535211267607E-3</v>
      </c>
      <c r="L128" s="2">
        <f>ABS(G128-E128)</f>
        <v>5</v>
      </c>
      <c r="M128" s="50">
        <f>(L128/E128)</f>
        <v>3.5211267605633804E-2</v>
      </c>
      <c r="N128" s="2">
        <v>138</v>
      </c>
      <c r="O128" s="11">
        <f t="shared" si="2"/>
        <v>4</v>
      </c>
      <c r="P128" s="29">
        <f t="shared" si="3"/>
        <v>2.8169014084507043E-2</v>
      </c>
    </row>
    <row r="129" spans="1:16" x14ac:dyDescent="0.35">
      <c r="A129" s="2" t="s">
        <v>42</v>
      </c>
      <c r="B129" s="2" t="s">
        <v>41</v>
      </c>
      <c r="C129" s="2" t="s">
        <v>36</v>
      </c>
      <c r="D129" s="2" t="s">
        <v>19</v>
      </c>
      <c r="E129" s="2">
        <v>141</v>
      </c>
      <c r="F129" s="2">
        <v>137</v>
      </c>
      <c r="G129" s="2">
        <v>144</v>
      </c>
      <c r="H129" s="2">
        <v>0</v>
      </c>
      <c r="I129" s="2">
        <v>0</v>
      </c>
      <c r="J129" s="2">
        <f>ABS(F129-E129)</f>
        <v>4</v>
      </c>
      <c r="K129" s="29">
        <f>J129/E129</f>
        <v>2.8368794326241134E-2</v>
      </c>
      <c r="L129" s="2">
        <f>ABS(G129-E129)</f>
        <v>3</v>
      </c>
      <c r="M129" s="50">
        <f>(L129/E129)</f>
        <v>2.1276595744680851E-2</v>
      </c>
      <c r="N129" s="2">
        <v>141</v>
      </c>
      <c r="O129" s="11">
        <f t="shared" si="2"/>
        <v>0</v>
      </c>
      <c r="P129" s="29">
        <f t="shared" si="3"/>
        <v>0</v>
      </c>
    </row>
    <row r="130" spans="1:16" x14ac:dyDescent="0.35">
      <c r="A130" s="2" t="s">
        <v>42</v>
      </c>
      <c r="B130" s="2" t="s">
        <v>41</v>
      </c>
      <c r="C130" s="2" t="s">
        <v>36</v>
      </c>
      <c r="D130" s="2" t="s">
        <v>20</v>
      </c>
      <c r="E130" s="2">
        <v>127</v>
      </c>
      <c r="F130" s="2">
        <v>139</v>
      </c>
      <c r="G130" s="2">
        <v>122</v>
      </c>
      <c r="H130" s="2">
        <v>0</v>
      </c>
      <c r="I130" s="2">
        <v>0</v>
      </c>
      <c r="J130" s="2">
        <f>ABS(F130-E130)</f>
        <v>12</v>
      </c>
      <c r="K130" s="29">
        <f>J130/E130</f>
        <v>9.4488188976377951E-2</v>
      </c>
      <c r="L130" s="2">
        <f>ABS(G130-E130)</f>
        <v>5</v>
      </c>
      <c r="M130" s="50">
        <f>(L130/E130)</f>
        <v>3.937007874015748E-2</v>
      </c>
      <c r="N130" s="2">
        <v>134</v>
      </c>
      <c r="O130" s="11">
        <f t="shared" si="2"/>
        <v>7</v>
      </c>
      <c r="P130" s="29">
        <f t="shared" si="3"/>
        <v>5.5118110236220472E-2</v>
      </c>
    </row>
    <row r="131" spans="1:16" x14ac:dyDescent="0.35">
      <c r="A131" s="2" t="s">
        <v>42</v>
      </c>
      <c r="B131" s="2" t="s">
        <v>41</v>
      </c>
      <c r="C131" s="2" t="s">
        <v>36</v>
      </c>
      <c r="D131" s="2" t="s">
        <v>21</v>
      </c>
      <c r="E131" s="2">
        <v>142</v>
      </c>
      <c r="F131" s="2">
        <v>142</v>
      </c>
      <c r="G131" s="2">
        <v>138</v>
      </c>
      <c r="H131" s="2">
        <v>1</v>
      </c>
      <c r="I131" s="2">
        <v>0</v>
      </c>
      <c r="J131" s="2">
        <f>ABS(F131-E131)</f>
        <v>0</v>
      </c>
      <c r="K131" s="29">
        <f>J131/E131</f>
        <v>0</v>
      </c>
      <c r="L131" s="2">
        <f>ABS(G131-E131)</f>
        <v>4</v>
      </c>
      <c r="M131" s="50">
        <f>(L131/E131)</f>
        <v>2.8169014084507043E-2</v>
      </c>
      <c r="N131" s="2">
        <v>137</v>
      </c>
      <c r="O131" s="11">
        <f t="shared" ref="O131:O194" si="4">ABS(N131-E131)</f>
        <v>5</v>
      </c>
      <c r="P131" s="29">
        <f t="shared" ref="P131:P194" si="5">O131/E131</f>
        <v>3.5211267605633804E-2</v>
      </c>
    </row>
    <row r="132" spans="1:16" x14ac:dyDescent="0.35">
      <c r="A132" s="2" t="s">
        <v>42</v>
      </c>
      <c r="B132" s="2" t="s">
        <v>41</v>
      </c>
      <c r="C132" s="2" t="s">
        <v>36</v>
      </c>
      <c r="D132" s="2" t="s">
        <v>22</v>
      </c>
      <c r="E132" s="2">
        <v>170</v>
      </c>
      <c r="F132" s="2">
        <v>179</v>
      </c>
      <c r="G132" s="2">
        <v>171</v>
      </c>
      <c r="H132" s="2">
        <v>0</v>
      </c>
      <c r="I132" s="2">
        <v>0</v>
      </c>
      <c r="J132" s="2">
        <f>ABS(F132-E132)</f>
        <v>9</v>
      </c>
      <c r="K132" s="29">
        <f>J132/E132</f>
        <v>5.2941176470588235E-2</v>
      </c>
      <c r="L132" s="2">
        <f>ABS(G132-E132)</f>
        <v>1</v>
      </c>
      <c r="M132" s="50">
        <f>(L132/E132)</f>
        <v>5.8823529411764705E-3</v>
      </c>
      <c r="N132" s="2">
        <v>165</v>
      </c>
      <c r="O132" s="11">
        <f t="shared" si="4"/>
        <v>5</v>
      </c>
      <c r="P132" s="29">
        <f t="shared" si="5"/>
        <v>2.9411764705882353E-2</v>
      </c>
    </row>
    <row r="133" spans="1:16" x14ac:dyDescent="0.35">
      <c r="A133" s="2" t="s">
        <v>42</v>
      </c>
      <c r="B133" s="2" t="s">
        <v>41</v>
      </c>
      <c r="C133" s="2" t="s">
        <v>36</v>
      </c>
      <c r="D133" s="2" t="s">
        <v>23</v>
      </c>
      <c r="E133" s="2">
        <v>177</v>
      </c>
      <c r="F133" s="2">
        <v>166</v>
      </c>
      <c r="G133" s="2">
        <v>188</v>
      </c>
      <c r="H133" s="2">
        <v>0</v>
      </c>
      <c r="I133" s="2">
        <v>0</v>
      </c>
      <c r="J133" s="2">
        <f>ABS(F133-E133)</f>
        <v>11</v>
      </c>
      <c r="K133" s="29">
        <f>J133/E133</f>
        <v>6.2146892655367235E-2</v>
      </c>
      <c r="L133" s="2">
        <f>ABS(G133-E133)</f>
        <v>11</v>
      </c>
      <c r="M133" s="50">
        <f>(L133/E133)</f>
        <v>6.2146892655367235E-2</v>
      </c>
      <c r="N133" s="2">
        <v>163</v>
      </c>
      <c r="O133" s="11">
        <f t="shared" si="4"/>
        <v>14</v>
      </c>
      <c r="P133" s="29">
        <f t="shared" si="5"/>
        <v>7.909604519774012E-2</v>
      </c>
    </row>
    <row r="134" spans="1:16" x14ac:dyDescent="0.35">
      <c r="A134" s="2" t="s">
        <v>42</v>
      </c>
      <c r="B134" s="2" t="s">
        <v>41</v>
      </c>
      <c r="C134" s="2" t="s">
        <v>36</v>
      </c>
      <c r="D134" s="2" t="s">
        <v>24</v>
      </c>
      <c r="E134" s="2">
        <v>168</v>
      </c>
      <c r="F134" s="2">
        <v>226</v>
      </c>
      <c r="G134" s="2">
        <v>163</v>
      </c>
      <c r="H134" s="2">
        <v>1</v>
      </c>
      <c r="I134" s="2">
        <v>0</v>
      </c>
      <c r="J134" s="2">
        <f>ABS(F134-E134)</f>
        <v>58</v>
      </c>
      <c r="K134" s="29">
        <f>J134/E134</f>
        <v>0.34523809523809523</v>
      </c>
      <c r="L134" s="2">
        <f>ABS(G134-E134)</f>
        <v>5</v>
      </c>
      <c r="M134" s="50">
        <f>(L134/E134)</f>
        <v>2.976190476190476E-2</v>
      </c>
      <c r="N134" s="2">
        <v>193</v>
      </c>
      <c r="O134" s="11">
        <f t="shared" si="4"/>
        <v>25</v>
      </c>
      <c r="P134" s="29">
        <f t="shared" si="5"/>
        <v>0.14880952380952381</v>
      </c>
    </row>
    <row r="135" spans="1:16" x14ac:dyDescent="0.35">
      <c r="A135" s="2" t="s">
        <v>42</v>
      </c>
      <c r="B135" s="2" t="s">
        <v>41</v>
      </c>
      <c r="C135" s="2" t="s">
        <v>36</v>
      </c>
      <c r="D135" s="2" t="s">
        <v>25</v>
      </c>
      <c r="E135" s="2">
        <v>193</v>
      </c>
      <c r="F135" s="2">
        <v>250</v>
      </c>
      <c r="G135" s="2">
        <v>204</v>
      </c>
      <c r="H135" s="2">
        <v>0</v>
      </c>
      <c r="I135" s="2">
        <v>0</v>
      </c>
      <c r="J135" s="2">
        <f>ABS(F135-E135)</f>
        <v>57</v>
      </c>
      <c r="K135" s="29">
        <f>J135/E135</f>
        <v>0.29533678756476683</v>
      </c>
      <c r="L135" s="2">
        <f>ABS(G135-E135)</f>
        <v>11</v>
      </c>
      <c r="M135" s="50">
        <f>(L135/E135)</f>
        <v>5.6994818652849742E-2</v>
      </c>
      <c r="N135" s="2">
        <v>217</v>
      </c>
      <c r="O135" s="11">
        <f t="shared" si="4"/>
        <v>24</v>
      </c>
      <c r="P135" s="29">
        <f t="shared" si="5"/>
        <v>0.12435233160621761</v>
      </c>
    </row>
    <row r="136" spans="1:16" x14ac:dyDescent="0.35">
      <c r="A136" s="2" t="s">
        <v>42</v>
      </c>
      <c r="B136" s="2" t="s">
        <v>41</v>
      </c>
      <c r="C136" s="2" t="s">
        <v>36</v>
      </c>
      <c r="D136" s="2" t="s">
        <v>26</v>
      </c>
      <c r="E136" s="2">
        <v>209</v>
      </c>
      <c r="F136" s="2">
        <v>217</v>
      </c>
      <c r="G136" s="2">
        <v>200</v>
      </c>
      <c r="H136" s="2">
        <v>0</v>
      </c>
      <c r="I136" s="2">
        <v>0</v>
      </c>
      <c r="J136" s="2">
        <f>ABS(F136-E136)</f>
        <v>8</v>
      </c>
      <c r="K136" s="29">
        <f>J136/E136</f>
        <v>3.8277511961722487E-2</v>
      </c>
      <c r="L136" s="2">
        <f>ABS(G136-E136)</f>
        <v>9</v>
      </c>
      <c r="M136" s="50">
        <f>(L136/E136)</f>
        <v>4.3062200956937802E-2</v>
      </c>
      <c r="N136" s="2">
        <v>201</v>
      </c>
      <c r="O136" s="11">
        <f t="shared" si="4"/>
        <v>8</v>
      </c>
      <c r="P136" s="29">
        <f t="shared" si="5"/>
        <v>3.8277511961722487E-2</v>
      </c>
    </row>
    <row r="137" spans="1:16" x14ac:dyDescent="0.35">
      <c r="A137" s="2" t="s">
        <v>42</v>
      </c>
      <c r="B137" s="2" t="s">
        <v>41</v>
      </c>
      <c r="C137" s="2" t="s">
        <v>36</v>
      </c>
      <c r="D137" s="2" t="s">
        <v>27</v>
      </c>
      <c r="E137" s="2">
        <v>189</v>
      </c>
      <c r="F137" s="2">
        <v>219</v>
      </c>
      <c r="G137" s="2">
        <v>198</v>
      </c>
      <c r="H137" s="2">
        <v>0</v>
      </c>
      <c r="I137" s="2">
        <v>0</v>
      </c>
      <c r="J137" s="2">
        <f>ABS(F137-E137)</f>
        <v>30</v>
      </c>
      <c r="K137" s="29">
        <f>J137/E137</f>
        <v>0.15873015873015872</v>
      </c>
      <c r="L137" s="2">
        <f>ABS(G137-E137)</f>
        <v>9</v>
      </c>
      <c r="M137" s="50">
        <f>(L137/E137)</f>
        <v>4.7619047619047616E-2</v>
      </c>
      <c r="N137" s="2">
        <v>193</v>
      </c>
      <c r="O137" s="11">
        <f t="shared" si="4"/>
        <v>4</v>
      </c>
      <c r="P137" s="29">
        <f t="shared" si="5"/>
        <v>2.1164021164021163E-2</v>
      </c>
    </row>
    <row r="138" spans="1:16" x14ac:dyDescent="0.35">
      <c r="A138" s="2" t="s">
        <v>42</v>
      </c>
      <c r="B138" s="2" t="s">
        <v>41</v>
      </c>
      <c r="C138" s="2" t="s">
        <v>36</v>
      </c>
      <c r="D138" s="2" t="s">
        <v>28</v>
      </c>
      <c r="E138" s="2">
        <v>157</v>
      </c>
      <c r="F138" s="2">
        <v>168</v>
      </c>
      <c r="G138" s="2">
        <v>151</v>
      </c>
      <c r="H138" s="2">
        <v>1</v>
      </c>
      <c r="I138" s="2">
        <v>0</v>
      </c>
      <c r="J138" s="2">
        <f>ABS(F138-E138)</f>
        <v>11</v>
      </c>
      <c r="K138" s="29">
        <f>J138/E138</f>
        <v>7.0063694267515922E-2</v>
      </c>
      <c r="L138" s="2">
        <f>ABS(G138-E138)</f>
        <v>6</v>
      </c>
      <c r="M138" s="50">
        <f>(L138/E138)</f>
        <v>3.8216560509554139E-2</v>
      </c>
      <c r="N138" s="2">
        <v>167</v>
      </c>
      <c r="O138" s="11">
        <f t="shared" si="4"/>
        <v>10</v>
      </c>
      <c r="P138" s="29">
        <f t="shared" si="5"/>
        <v>6.3694267515923567E-2</v>
      </c>
    </row>
    <row r="139" spans="1:16" x14ac:dyDescent="0.35">
      <c r="A139" s="2" t="s">
        <v>42</v>
      </c>
      <c r="B139" s="2" t="s">
        <v>41</v>
      </c>
      <c r="C139" s="2" t="s">
        <v>36</v>
      </c>
      <c r="D139" s="2" t="s">
        <v>29</v>
      </c>
      <c r="E139" s="2">
        <v>131</v>
      </c>
      <c r="F139" s="2">
        <v>163</v>
      </c>
      <c r="G139" s="2">
        <v>135</v>
      </c>
      <c r="H139" s="2">
        <v>0</v>
      </c>
      <c r="I139" s="2">
        <v>0</v>
      </c>
      <c r="J139" s="2">
        <f>ABS(F139-E139)</f>
        <v>32</v>
      </c>
      <c r="K139" s="29">
        <f>J139/E139</f>
        <v>0.24427480916030533</v>
      </c>
      <c r="L139" s="2">
        <f>ABS(G139-E139)</f>
        <v>4</v>
      </c>
      <c r="M139" s="50">
        <f>(L139/E139)</f>
        <v>3.0534351145038167E-2</v>
      </c>
      <c r="N139" s="2">
        <v>142</v>
      </c>
      <c r="O139" s="11">
        <f t="shared" si="4"/>
        <v>11</v>
      </c>
      <c r="P139" s="29">
        <f t="shared" si="5"/>
        <v>8.3969465648854963E-2</v>
      </c>
    </row>
    <row r="140" spans="1:16" x14ac:dyDescent="0.35">
      <c r="A140" s="2" t="s">
        <v>42</v>
      </c>
      <c r="B140" s="2" t="s">
        <v>41</v>
      </c>
      <c r="C140" s="2" t="s">
        <v>36</v>
      </c>
      <c r="D140" s="2" t="s">
        <v>30</v>
      </c>
      <c r="E140" s="2">
        <v>65</v>
      </c>
      <c r="F140" s="2">
        <v>83</v>
      </c>
      <c r="G140" s="2">
        <v>68</v>
      </c>
      <c r="H140" s="2">
        <v>1</v>
      </c>
      <c r="I140" s="2">
        <v>1</v>
      </c>
      <c r="J140" s="2">
        <f>ABS(F140-E140)</f>
        <v>18</v>
      </c>
      <c r="K140" s="29">
        <f>J140/E140</f>
        <v>0.27692307692307694</v>
      </c>
      <c r="L140" s="2">
        <f>ABS(G140-E140)</f>
        <v>3</v>
      </c>
      <c r="M140" s="50">
        <f>(L140/E140)</f>
        <v>4.6153846153846156E-2</v>
      </c>
      <c r="N140" s="2">
        <v>75</v>
      </c>
      <c r="O140" s="11">
        <f t="shared" si="4"/>
        <v>10</v>
      </c>
      <c r="P140" s="29">
        <f t="shared" si="5"/>
        <v>0.15384615384615385</v>
      </c>
    </row>
    <row r="141" spans="1:16" x14ac:dyDescent="0.35">
      <c r="A141" s="2" t="s">
        <v>42</v>
      </c>
      <c r="B141" s="2" t="s">
        <v>41</v>
      </c>
      <c r="C141" s="2" t="s">
        <v>36</v>
      </c>
      <c r="D141" s="2" t="s">
        <v>31</v>
      </c>
      <c r="E141" s="2">
        <v>141</v>
      </c>
      <c r="F141" s="2">
        <v>148</v>
      </c>
      <c r="G141" s="2">
        <v>148</v>
      </c>
      <c r="H141" s="2">
        <v>0</v>
      </c>
      <c r="I141" s="2">
        <v>0</v>
      </c>
      <c r="J141" s="2">
        <f>ABS(F141-E141)</f>
        <v>7</v>
      </c>
      <c r="K141" s="29">
        <f>J141/E141</f>
        <v>4.9645390070921988E-2</v>
      </c>
      <c r="L141" s="2">
        <f>ABS(G141-E141)</f>
        <v>7</v>
      </c>
      <c r="M141" s="50">
        <f>(L141/E141)</f>
        <v>4.9645390070921988E-2</v>
      </c>
      <c r="N141" s="2">
        <v>140</v>
      </c>
      <c r="O141" s="11">
        <f t="shared" si="4"/>
        <v>1</v>
      </c>
      <c r="P141" s="29">
        <f t="shared" si="5"/>
        <v>7.0921985815602835E-3</v>
      </c>
    </row>
    <row r="142" spans="1:16" x14ac:dyDescent="0.35">
      <c r="A142" s="2" t="s">
        <v>42</v>
      </c>
      <c r="B142" s="2" t="s">
        <v>41</v>
      </c>
      <c r="C142" s="2" t="s">
        <v>36</v>
      </c>
      <c r="D142" s="2" t="s">
        <v>32</v>
      </c>
      <c r="E142" s="2">
        <v>123</v>
      </c>
      <c r="F142" s="2">
        <v>120</v>
      </c>
      <c r="G142" s="2">
        <v>123</v>
      </c>
      <c r="H142" s="2">
        <v>0</v>
      </c>
      <c r="I142" s="2">
        <v>0</v>
      </c>
      <c r="J142" s="2">
        <f>ABS(F142-E142)</f>
        <v>3</v>
      </c>
      <c r="K142" s="29">
        <f>J142/E142</f>
        <v>2.4390243902439025E-2</v>
      </c>
      <c r="L142" s="2">
        <f>ABS(G142-E142)</f>
        <v>0</v>
      </c>
      <c r="M142" s="50">
        <f>(L142/E142)</f>
        <v>0</v>
      </c>
      <c r="N142" s="2">
        <v>122</v>
      </c>
      <c r="O142" s="11">
        <f t="shared" si="4"/>
        <v>1</v>
      </c>
      <c r="P142" s="29">
        <f t="shared" si="5"/>
        <v>8.130081300813009E-3</v>
      </c>
    </row>
    <row r="143" spans="1:16" x14ac:dyDescent="0.35">
      <c r="A143" s="2" t="s">
        <v>42</v>
      </c>
      <c r="B143" s="2" t="s">
        <v>41</v>
      </c>
      <c r="C143" s="2" t="s">
        <v>36</v>
      </c>
      <c r="D143" s="2" t="s">
        <v>33</v>
      </c>
      <c r="E143" s="2">
        <v>55</v>
      </c>
      <c r="F143" s="2">
        <v>57</v>
      </c>
      <c r="G143" s="2">
        <v>50</v>
      </c>
      <c r="H143" s="2">
        <v>0</v>
      </c>
      <c r="I143" s="2">
        <v>1</v>
      </c>
      <c r="J143" s="2">
        <f>ABS(F143-E143)</f>
        <v>2</v>
      </c>
      <c r="K143" s="29">
        <f>J143/E143</f>
        <v>3.6363636363636362E-2</v>
      </c>
      <c r="L143" s="2">
        <f>ABS(G143-E143)</f>
        <v>5</v>
      </c>
      <c r="M143" s="50">
        <f>(L143/E143)</f>
        <v>9.0909090909090912E-2</v>
      </c>
      <c r="N143" s="2">
        <v>56</v>
      </c>
      <c r="O143" s="11">
        <f t="shared" si="4"/>
        <v>1</v>
      </c>
      <c r="P143" s="29">
        <f t="shared" si="5"/>
        <v>1.8181818181818181E-2</v>
      </c>
    </row>
    <row r="144" spans="1:16" x14ac:dyDescent="0.35">
      <c r="A144" s="2" t="s">
        <v>42</v>
      </c>
      <c r="B144" s="2" t="s">
        <v>41</v>
      </c>
      <c r="C144" s="2" t="s">
        <v>36</v>
      </c>
      <c r="D144" s="2" t="s">
        <v>34</v>
      </c>
      <c r="E144" s="2">
        <v>153</v>
      </c>
      <c r="F144" s="2">
        <v>159</v>
      </c>
      <c r="G144" s="2">
        <v>144</v>
      </c>
      <c r="H144" s="2">
        <v>1</v>
      </c>
      <c r="I144" s="2">
        <v>0</v>
      </c>
      <c r="J144" s="2">
        <f>ABS(F144-E144)</f>
        <v>6</v>
      </c>
      <c r="K144" s="29">
        <f>J144/E144</f>
        <v>3.9215686274509803E-2</v>
      </c>
      <c r="L144" s="2">
        <f>ABS(G144-E144)</f>
        <v>9</v>
      </c>
      <c r="M144" s="50">
        <f>(L144/E144)</f>
        <v>5.8823529411764705E-2</v>
      </c>
      <c r="N144" s="2">
        <v>150</v>
      </c>
      <c r="O144" s="11">
        <f t="shared" si="4"/>
        <v>3</v>
      </c>
      <c r="P144" s="29">
        <f t="shared" si="5"/>
        <v>1.9607843137254902E-2</v>
      </c>
    </row>
    <row r="145" spans="1:16" x14ac:dyDescent="0.35">
      <c r="A145" s="2" t="s">
        <v>42</v>
      </c>
      <c r="B145" s="2" t="s">
        <v>41</v>
      </c>
      <c r="C145" s="2" t="s">
        <v>36</v>
      </c>
      <c r="D145" s="2" t="s">
        <v>35</v>
      </c>
      <c r="E145" s="2">
        <v>115</v>
      </c>
      <c r="F145" s="2">
        <v>125</v>
      </c>
      <c r="G145" s="2">
        <v>125</v>
      </c>
      <c r="H145" s="2">
        <v>0</v>
      </c>
      <c r="I145" s="2">
        <v>0</v>
      </c>
      <c r="J145" s="2">
        <f>ABS(F145-E145)</f>
        <v>10</v>
      </c>
      <c r="K145" s="29">
        <f>J145/E145</f>
        <v>8.6956521739130432E-2</v>
      </c>
      <c r="L145" s="2">
        <f>ABS(G145-E145)</f>
        <v>10</v>
      </c>
      <c r="M145" s="50">
        <f>(L145/E145)</f>
        <v>8.6956521739130432E-2</v>
      </c>
      <c r="N145" s="2">
        <v>128</v>
      </c>
      <c r="O145" s="11">
        <f t="shared" si="4"/>
        <v>13</v>
      </c>
      <c r="P145" s="29">
        <f t="shared" si="5"/>
        <v>0.11304347826086956</v>
      </c>
    </row>
    <row r="146" spans="1:16" x14ac:dyDescent="0.35">
      <c r="A146" s="2" t="s">
        <v>42</v>
      </c>
      <c r="B146" s="2" t="s">
        <v>41</v>
      </c>
      <c r="C146" s="2" t="s">
        <v>37</v>
      </c>
      <c r="D146" s="2" t="s">
        <v>12</v>
      </c>
      <c r="E146" s="2">
        <v>186</v>
      </c>
      <c r="F146" s="2">
        <v>204</v>
      </c>
      <c r="G146" s="2">
        <v>192</v>
      </c>
      <c r="H146" s="2">
        <v>0</v>
      </c>
      <c r="I146" s="2">
        <v>0</v>
      </c>
      <c r="J146" s="2">
        <f>ABS(F146-E146)</f>
        <v>18</v>
      </c>
      <c r="K146" s="29">
        <f>J146/E146</f>
        <v>9.6774193548387094E-2</v>
      </c>
      <c r="L146" s="2">
        <f>ABS(G146-E146)</f>
        <v>6</v>
      </c>
      <c r="M146" s="50">
        <f>(L146/E146)</f>
        <v>3.2258064516129031E-2</v>
      </c>
      <c r="N146" s="2">
        <v>189</v>
      </c>
      <c r="O146" s="11">
        <f t="shared" si="4"/>
        <v>3</v>
      </c>
      <c r="P146" s="29">
        <f t="shared" si="5"/>
        <v>1.6129032258064516E-2</v>
      </c>
    </row>
    <row r="147" spans="1:16" x14ac:dyDescent="0.35">
      <c r="A147" s="2" t="s">
        <v>42</v>
      </c>
      <c r="B147" s="2" t="s">
        <v>41</v>
      </c>
      <c r="C147" s="2" t="s">
        <v>37</v>
      </c>
      <c r="D147" s="2" t="s">
        <v>13</v>
      </c>
      <c r="E147" s="2">
        <v>205</v>
      </c>
      <c r="F147" s="2">
        <v>250</v>
      </c>
      <c r="G147" s="2">
        <v>197</v>
      </c>
      <c r="H147" s="2">
        <v>0</v>
      </c>
      <c r="I147" s="2">
        <v>0</v>
      </c>
      <c r="J147" s="2">
        <f>ABS(F147-E147)</f>
        <v>45</v>
      </c>
      <c r="K147" s="29">
        <f>J147/E147</f>
        <v>0.21951219512195122</v>
      </c>
      <c r="L147" s="2">
        <f>ABS(G147-E147)</f>
        <v>8</v>
      </c>
      <c r="M147" s="50">
        <f>(L147/E147)</f>
        <v>3.9024390243902439E-2</v>
      </c>
      <c r="N147" s="2">
        <v>224</v>
      </c>
      <c r="O147" s="11">
        <f t="shared" si="4"/>
        <v>19</v>
      </c>
      <c r="P147" s="29">
        <f t="shared" si="5"/>
        <v>9.2682926829268292E-2</v>
      </c>
    </row>
    <row r="148" spans="1:16" x14ac:dyDescent="0.35">
      <c r="A148" s="2" t="s">
        <v>42</v>
      </c>
      <c r="B148" s="2" t="s">
        <v>41</v>
      </c>
      <c r="C148" s="2" t="s">
        <v>37</v>
      </c>
      <c r="D148" s="2" t="s">
        <v>14</v>
      </c>
      <c r="E148" s="2">
        <v>238</v>
      </c>
      <c r="F148" s="2">
        <v>264</v>
      </c>
      <c r="G148" s="2">
        <v>229</v>
      </c>
      <c r="H148" s="2">
        <v>1</v>
      </c>
      <c r="I148" s="2">
        <v>0</v>
      </c>
      <c r="J148" s="2">
        <f>ABS(F148-E148)</f>
        <v>26</v>
      </c>
      <c r="K148" s="29">
        <f>J148/E148</f>
        <v>0.1092436974789916</v>
      </c>
      <c r="L148" s="2">
        <f>ABS(G148-E148)</f>
        <v>9</v>
      </c>
      <c r="M148" s="50">
        <f>(L148/E148)</f>
        <v>3.7815126050420166E-2</v>
      </c>
      <c r="N148" s="2">
        <v>227</v>
      </c>
      <c r="O148" s="11">
        <f t="shared" si="4"/>
        <v>11</v>
      </c>
      <c r="P148" s="29">
        <f t="shared" si="5"/>
        <v>4.6218487394957986E-2</v>
      </c>
    </row>
    <row r="149" spans="1:16" x14ac:dyDescent="0.35">
      <c r="A149" s="2" t="s">
        <v>42</v>
      </c>
      <c r="B149" s="2" t="s">
        <v>41</v>
      </c>
      <c r="C149" s="2" t="s">
        <v>37</v>
      </c>
      <c r="D149" s="2" t="s">
        <v>15</v>
      </c>
      <c r="E149" s="2">
        <v>198</v>
      </c>
      <c r="F149" s="2">
        <v>245</v>
      </c>
      <c r="G149" s="2">
        <v>218</v>
      </c>
      <c r="H149" s="2">
        <v>1</v>
      </c>
      <c r="I149" s="2">
        <v>0</v>
      </c>
      <c r="J149" s="2">
        <f>ABS(F149-E149)</f>
        <v>47</v>
      </c>
      <c r="K149" s="29">
        <f>J149/E149</f>
        <v>0.23737373737373738</v>
      </c>
      <c r="L149" s="2">
        <f>ABS(G149-E149)</f>
        <v>20</v>
      </c>
      <c r="M149" s="50">
        <f>(L149/E149)</f>
        <v>0.10101010101010101</v>
      </c>
      <c r="N149" s="2">
        <v>201</v>
      </c>
      <c r="O149" s="11">
        <f t="shared" si="4"/>
        <v>3</v>
      </c>
      <c r="P149" s="29">
        <f t="shared" si="5"/>
        <v>1.5151515151515152E-2</v>
      </c>
    </row>
    <row r="150" spans="1:16" x14ac:dyDescent="0.35">
      <c r="A150" s="2" t="s">
        <v>42</v>
      </c>
      <c r="B150" s="2" t="s">
        <v>41</v>
      </c>
      <c r="C150" s="2" t="s">
        <v>37</v>
      </c>
      <c r="D150" s="2" t="s">
        <v>16</v>
      </c>
      <c r="E150" s="2">
        <v>192</v>
      </c>
      <c r="F150" s="2">
        <v>219</v>
      </c>
      <c r="G150" s="2">
        <v>199</v>
      </c>
      <c r="H150" s="2">
        <v>0</v>
      </c>
      <c r="I150" s="2">
        <v>0</v>
      </c>
      <c r="J150" s="2">
        <f>ABS(F150-E150)</f>
        <v>27</v>
      </c>
      <c r="K150" s="29">
        <f>J150/E150</f>
        <v>0.140625</v>
      </c>
      <c r="L150" s="2">
        <f>ABS(G150-E150)</f>
        <v>7</v>
      </c>
      <c r="M150" s="50">
        <f>(L150/E150)</f>
        <v>3.6458333333333336E-2</v>
      </c>
      <c r="N150" s="2">
        <v>194</v>
      </c>
      <c r="O150" s="11">
        <f t="shared" si="4"/>
        <v>2</v>
      </c>
      <c r="P150" s="29">
        <f t="shared" si="5"/>
        <v>1.0416666666666666E-2</v>
      </c>
    </row>
    <row r="151" spans="1:16" x14ac:dyDescent="0.35">
      <c r="A151" s="2" t="s">
        <v>42</v>
      </c>
      <c r="B151" s="2" t="s">
        <v>41</v>
      </c>
      <c r="C151" s="2" t="s">
        <v>37</v>
      </c>
      <c r="D151" s="2" t="s">
        <v>17</v>
      </c>
      <c r="E151" s="2">
        <v>162</v>
      </c>
      <c r="F151" s="2">
        <v>179</v>
      </c>
      <c r="G151" s="2">
        <v>169</v>
      </c>
      <c r="H151" s="2">
        <v>0</v>
      </c>
      <c r="I151" s="2">
        <v>0</v>
      </c>
      <c r="J151" s="2">
        <f>ABS(F151-E151)</f>
        <v>17</v>
      </c>
      <c r="K151" s="29">
        <f>J151/E151</f>
        <v>0.10493827160493827</v>
      </c>
      <c r="L151" s="2">
        <f>ABS(G151-E151)</f>
        <v>7</v>
      </c>
      <c r="M151" s="50">
        <f>(L151/E151)</f>
        <v>4.3209876543209874E-2</v>
      </c>
      <c r="N151" s="2">
        <v>166</v>
      </c>
      <c r="O151" s="11">
        <f t="shared" si="4"/>
        <v>4</v>
      </c>
      <c r="P151" s="29">
        <f t="shared" si="5"/>
        <v>2.4691358024691357E-2</v>
      </c>
    </row>
    <row r="152" spans="1:16" x14ac:dyDescent="0.35">
      <c r="A152" s="2" t="s">
        <v>42</v>
      </c>
      <c r="B152" s="2" t="s">
        <v>41</v>
      </c>
      <c r="C152" s="2" t="s">
        <v>37</v>
      </c>
      <c r="D152" s="2" t="s">
        <v>18</v>
      </c>
      <c r="E152" s="2">
        <v>158</v>
      </c>
      <c r="F152" s="2">
        <v>216</v>
      </c>
      <c r="G152" s="2">
        <v>151</v>
      </c>
      <c r="H152" s="2">
        <v>1</v>
      </c>
      <c r="I152" s="2">
        <v>0</v>
      </c>
      <c r="J152" s="2">
        <f>ABS(F152-E152)</f>
        <v>58</v>
      </c>
      <c r="K152" s="29">
        <f>J152/E152</f>
        <v>0.36708860759493672</v>
      </c>
      <c r="L152" s="2">
        <f>ABS(G152-E152)</f>
        <v>7</v>
      </c>
      <c r="M152" s="50">
        <f>(L152/E152)</f>
        <v>4.4303797468354431E-2</v>
      </c>
      <c r="N152" s="2">
        <v>175</v>
      </c>
      <c r="O152" s="11">
        <f t="shared" si="4"/>
        <v>17</v>
      </c>
      <c r="P152" s="29">
        <f t="shared" si="5"/>
        <v>0.10759493670886076</v>
      </c>
    </row>
    <row r="153" spans="1:16" x14ac:dyDescent="0.35">
      <c r="A153" s="2" t="s">
        <v>42</v>
      </c>
      <c r="B153" s="2" t="s">
        <v>41</v>
      </c>
      <c r="C153" s="2" t="s">
        <v>37</v>
      </c>
      <c r="D153" s="2" t="s">
        <v>19</v>
      </c>
      <c r="E153" s="2">
        <v>156</v>
      </c>
      <c r="F153" s="2">
        <v>167</v>
      </c>
      <c r="G153" s="2">
        <v>168</v>
      </c>
      <c r="H153" s="2">
        <v>0</v>
      </c>
      <c r="I153" s="2">
        <v>0</v>
      </c>
      <c r="J153" s="2">
        <f>ABS(F153-E153)</f>
        <v>11</v>
      </c>
      <c r="K153" s="29">
        <f>J153/E153</f>
        <v>7.0512820512820512E-2</v>
      </c>
      <c r="L153" s="2">
        <f>ABS(G153-E153)</f>
        <v>12</v>
      </c>
      <c r="M153" s="50">
        <f>(L153/E153)</f>
        <v>7.6923076923076927E-2</v>
      </c>
      <c r="N153" s="2">
        <v>145</v>
      </c>
      <c r="O153" s="11">
        <f t="shared" si="4"/>
        <v>11</v>
      </c>
      <c r="P153" s="29">
        <f t="shared" si="5"/>
        <v>7.0512820512820512E-2</v>
      </c>
    </row>
    <row r="154" spans="1:16" x14ac:dyDescent="0.35">
      <c r="A154" s="2" t="s">
        <v>42</v>
      </c>
      <c r="B154" s="2" t="s">
        <v>41</v>
      </c>
      <c r="C154" s="2" t="s">
        <v>37</v>
      </c>
      <c r="D154" s="2" t="s">
        <v>20</v>
      </c>
      <c r="E154" s="2">
        <v>147</v>
      </c>
      <c r="F154" s="2">
        <v>167</v>
      </c>
      <c r="G154" s="2">
        <v>143</v>
      </c>
      <c r="H154" s="2">
        <v>0</v>
      </c>
      <c r="I154" s="2">
        <v>0</v>
      </c>
      <c r="J154" s="2">
        <f>ABS(F154-E154)</f>
        <v>20</v>
      </c>
      <c r="K154" s="29">
        <f>J154/E154</f>
        <v>0.1360544217687075</v>
      </c>
      <c r="L154" s="2">
        <f>ABS(G154-E154)</f>
        <v>4</v>
      </c>
      <c r="M154" s="50">
        <f>(L154/E154)</f>
        <v>2.7210884353741496E-2</v>
      </c>
      <c r="N154" s="2">
        <v>143</v>
      </c>
      <c r="O154" s="11">
        <f t="shared" si="4"/>
        <v>4</v>
      </c>
      <c r="P154" s="29">
        <f t="shared" si="5"/>
        <v>2.7210884353741496E-2</v>
      </c>
    </row>
    <row r="155" spans="1:16" x14ac:dyDescent="0.35">
      <c r="A155" s="2" t="s">
        <v>42</v>
      </c>
      <c r="B155" s="2" t="s">
        <v>41</v>
      </c>
      <c r="C155" s="2" t="s">
        <v>37</v>
      </c>
      <c r="D155" s="2" t="s">
        <v>21</v>
      </c>
      <c r="E155" s="2">
        <v>126</v>
      </c>
      <c r="F155" s="2">
        <v>170</v>
      </c>
      <c r="G155" s="2">
        <v>131</v>
      </c>
      <c r="H155" s="2">
        <v>0</v>
      </c>
      <c r="I155" s="2">
        <v>0</v>
      </c>
      <c r="J155" s="2">
        <f>ABS(F155-E155)</f>
        <v>44</v>
      </c>
      <c r="K155" s="29">
        <f>J155/E155</f>
        <v>0.34920634920634919</v>
      </c>
      <c r="L155" s="2">
        <f>ABS(G155-E155)</f>
        <v>5</v>
      </c>
      <c r="M155" s="50">
        <f>(L155/E155)</f>
        <v>3.968253968253968E-2</v>
      </c>
      <c r="N155" s="2">
        <v>136</v>
      </c>
      <c r="O155" s="11">
        <f t="shared" si="4"/>
        <v>10</v>
      </c>
      <c r="P155" s="29">
        <f t="shared" si="5"/>
        <v>7.9365079365079361E-2</v>
      </c>
    </row>
    <row r="156" spans="1:16" x14ac:dyDescent="0.35">
      <c r="A156" s="2" t="s">
        <v>42</v>
      </c>
      <c r="B156" s="2" t="s">
        <v>41</v>
      </c>
      <c r="C156" s="2" t="s">
        <v>37</v>
      </c>
      <c r="D156" s="2" t="s">
        <v>22</v>
      </c>
      <c r="E156" s="2">
        <v>142</v>
      </c>
      <c r="F156" s="2">
        <v>157</v>
      </c>
      <c r="G156" s="2">
        <v>134</v>
      </c>
      <c r="H156" s="2">
        <v>0</v>
      </c>
      <c r="I156" s="2">
        <v>0</v>
      </c>
      <c r="J156" s="2">
        <f>ABS(F156-E156)</f>
        <v>15</v>
      </c>
      <c r="K156" s="29">
        <f>J156/E156</f>
        <v>0.10563380281690141</v>
      </c>
      <c r="L156" s="2">
        <f>ABS(G156-E156)</f>
        <v>8</v>
      </c>
      <c r="M156" s="50">
        <f>(L156/E156)</f>
        <v>5.6338028169014086E-2</v>
      </c>
      <c r="N156" s="2">
        <v>143</v>
      </c>
      <c r="O156" s="11">
        <f t="shared" si="4"/>
        <v>1</v>
      </c>
      <c r="P156" s="29">
        <f t="shared" si="5"/>
        <v>7.0422535211267607E-3</v>
      </c>
    </row>
    <row r="157" spans="1:16" x14ac:dyDescent="0.35">
      <c r="A157" s="2" t="s">
        <v>42</v>
      </c>
      <c r="B157" s="2" t="s">
        <v>41</v>
      </c>
      <c r="C157" s="2" t="s">
        <v>37</v>
      </c>
      <c r="D157" s="2" t="s">
        <v>23</v>
      </c>
      <c r="E157" s="2">
        <v>189</v>
      </c>
      <c r="F157" s="2">
        <v>245</v>
      </c>
      <c r="G157" s="2">
        <v>186</v>
      </c>
      <c r="H157" s="2">
        <v>0</v>
      </c>
      <c r="I157" s="2">
        <v>0</v>
      </c>
      <c r="J157" s="2">
        <f>ABS(F157-E157)</f>
        <v>56</v>
      </c>
      <c r="K157" s="29">
        <f>J157/E157</f>
        <v>0.29629629629629628</v>
      </c>
      <c r="L157" s="2">
        <f>ABS(G157-E157)</f>
        <v>3</v>
      </c>
      <c r="M157" s="50">
        <f>(L157/E157)</f>
        <v>1.5873015873015872E-2</v>
      </c>
      <c r="N157" s="2">
        <v>190</v>
      </c>
      <c r="O157" s="11">
        <f t="shared" si="4"/>
        <v>1</v>
      </c>
      <c r="P157" s="29">
        <f t="shared" si="5"/>
        <v>5.2910052910052907E-3</v>
      </c>
    </row>
    <row r="158" spans="1:16" x14ac:dyDescent="0.35">
      <c r="A158" s="2" t="s">
        <v>42</v>
      </c>
      <c r="B158" s="2" t="s">
        <v>41</v>
      </c>
      <c r="C158" s="2" t="s">
        <v>37</v>
      </c>
      <c r="D158" s="2" t="s">
        <v>24</v>
      </c>
      <c r="E158" s="2">
        <v>189</v>
      </c>
      <c r="F158" s="2">
        <v>198</v>
      </c>
      <c r="G158" s="2">
        <v>168</v>
      </c>
      <c r="H158" s="2">
        <v>0</v>
      </c>
      <c r="I158" s="2">
        <v>0</v>
      </c>
      <c r="J158" s="2">
        <f>ABS(F158-E158)</f>
        <v>9</v>
      </c>
      <c r="K158" s="29">
        <f>J158/E158</f>
        <v>4.7619047619047616E-2</v>
      </c>
      <c r="L158" s="2">
        <f>ABS(G158-E158)</f>
        <v>21</v>
      </c>
      <c r="M158" s="50">
        <f>(L158/E158)</f>
        <v>0.1111111111111111</v>
      </c>
      <c r="N158" s="2">
        <v>183</v>
      </c>
      <c r="O158" s="11">
        <f t="shared" si="4"/>
        <v>6</v>
      </c>
      <c r="P158" s="29">
        <f t="shared" si="5"/>
        <v>3.1746031746031744E-2</v>
      </c>
    </row>
    <row r="159" spans="1:16" x14ac:dyDescent="0.35">
      <c r="A159" s="2" t="s">
        <v>42</v>
      </c>
      <c r="B159" s="2" t="s">
        <v>41</v>
      </c>
      <c r="C159" s="2" t="s">
        <v>37</v>
      </c>
      <c r="D159" s="2" t="s">
        <v>25</v>
      </c>
      <c r="E159" s="2">
        <v>208</v>
      </c>
      <c r="F159" s="2">
        <v>252</v>
      </c>
      <c r="G159" s="2">
        <v>216</v>
      </c>
      <c r="H159" s="2">
        <v>1</v>
      </c>
      <c r="I159" s="2">
        <v>0</v>
      </c>
      <c r="J159" s="2">
        <f>ABS(F159-E159)</f>
        <v>44</v>
      </c>
      <c r="K159" s="29">
        <f>J159/E159</f>
        <v>0.21153846153846154</v>
      </c>
      <c r="L159" s="2">
        <f>ABS(G159-E159)</f>
        <v>8</v>
      </c>
      <c r="M159" s="50">
        <f>(L159/E159)</f>
        <v>3.8461538461538464E-2</v>
      </c>
      <c r="N159" s="2">
        <v>217</v>
      </c>
      <c r="O159" s="11">
        <f t="shared" si="4"/>
        <v>9</v>
      </c>
      <c r="P159" s="29">
        <f t="shared" si="5"/>
        <v>4.3269230769230768E-2</v>
      </c>
    </row>
    <row r="160" spans="1:16" x14ac:dyDescent="0.35">
      <c r="A160" s="2" t="s">
        <v>42</v>
      </c>
      <c r="B160" s="2" t="s">
        <v>41</v>
      </c>
      <c r="C160" s="2" t="s">
        <v>37</v>
      </c>
      <c r="D160" s="2" t="s">
        <v>26</v>
      </c>
      <c r="E160" s="2">
        <v>192</v>
      </c>
      <c r="F160" s="2">
        <v>226</v>
      </c>
      <c r="G160" s="2">
        <v>207</v>
      </c>
      <c r="H160" s="2">
        <v>0</v>
      </c>
      <c r="I160" s="2">
        <v>0</v>
      </c>
      <c r="J160" s="2">
        <f>ABS(F160-E160)</f>
        <v>34</v>
      </c>
      <c r="K160" s="29">
        <f>J160/E160</f>
        <v>0.17708333333333334</v>
      </c>
      <c r="L160" s="2">
        <f>ABS(G160-E160)</f>
        <v>15</v>
      </c>
      <c r="M160" s="50">
        <f>(L160/E160)</f>
        <v>7.8125E-2</v>
      </c>
      <c r="N160" s="2">
        <v>204</v>
      </c>
      <c r="O160" s="11">
        <f t="shared" si="4"/>
        <v>12</v>
      </c>
      <c r="P160" s="29">
        <f t="shared" si="5"/>
        <v>6.25E-2</v>
      </c>
    </row>
    <row r="161" spans="1:16" x14ac:dyDescent="0.35">
      <c r="A161" s="2" t="s">
        <v>42</v>
      </c>
      <c r="B161" s="2" t="s">
        <v>41</v>
      </c>
      <c r="C161" s="2" t="s">
        <v>37</v>
      </c>
      <c r="D161" s="2" t="s">
        <v>27</v>
      </c>
      <c r="E161" s="2">
        <v>216</v>
      </c>
      <c r="F161" s="2">
        <v>239</v>
      </c>
      <c r="G161" s="2">
        <v>208</v>
      </c>
      <c r="H161" s="2">
        <v>0</v>
      </c>
      <c r="I161" s="2">
        <v>0</v>
      </c>
      <c r="J161" s="2">
        <f>ABS(F161-E161)</f>
        <v>23</v>
      </c>
      <c r="K161" s="29">
        <f>J161/E161</f>
        <v>0.10648148148148148</v>
      </c>
      <c r="L161" s="2">
        <f>ABS(G161-E161)</f>
        <v>8</v>
      </c>
      <c r="M161" s="50">
        <f>(L161/E161)</f>
        <v>3.7037037037037035E-2</v>
      </c>
      <c r="N161" s="2">
        <v>203</v>
      </c>
      <c r="O161" s="11">
        <f t="shared" si="4"/>
        <v>13</v>
      </c>
      <c r="P161" s="29">
        <f t="shared" si="5"/>
        <v>6.0185185185185182E-2</v>
      </c>
    </row>
    <row r="162" spans="1:16" x14ac:dyDescent="0.35">
      <c r="A162" s="2" t="s">
        <v>42</v>
      </c>
      <c r="B162" s="2" t="s">
        <v>41</v>
      </c>
      <c r="C162" s="2" t="s">
        <v>37</v>
      </c>
      <c r="D162" s="2" t="s">
        <v>28</v>
      </c>
      <c r="E162" s="2">
        <v>185</v>
      </c>
      <c r="F162" s="2">
        <v>232</v>
      </c>
      <c r="G162" s="2">
        <v>164</v>
      </c>
      <c r="H162" s="2">
        <v>0</v>
      </c>
      <c r="I162" s="2">
        <v>0</v>
      </c>
      <c r="J162" s="2">
        <f>ABS(F162-E162)</f>
        <v>47</v>
      </c>
      <c r="K162" s="29">
        <f>J162/E162</f>
        <v>0.25405405405405407</v>
      </c>
      <c r="L162" s="2">
        <f>ABS(G162-E162)</f>
        <v>21</v>
      </c>
      <c r="M162" s="50">
        <f>(L162/E162)</f>
        <v>0.11351351351351352</v>
      </c>
      <c r="N162" s="2">
        <v>194</v>
      </c>
      <c r="O162" s="11">
        <f t="shared" si="4"/>
        <v>9</v>
      </c>
      <c r="P162" s="29">
        <f t="shared" si="5"/>
        <v>4.8648648648648651E-2</v>
      </c>
    </row>
    <row r="163" spans="1:16" x14ac:dyDescent="0.35">
      <c r="A163" s="2" t="s">
        <v>42</v>
      </c>
      <c r="B163" s="2" t="s">
        <v>41</v>
      </c>
      <c r="C163" s="2" t="s">
        <v>37</v>
      </c>
      <c r="D163" s="2" t="s">
        <v>29</v>
      </c>
      <c r="E163" s="2">
        <v>159</v>
      </c>
      <c r="F163" s="2">
        <v>171</v>
      </c>
      <c r="G163" s="2">
        <v>154</v>
      </c>
      <c r="H163" s="2">
        <v>0</v>
      </c>
      <c r="I163" s="2">
        <v>0</v>
      </c>
      <c r="J163" s="2">
        <f>ABS(F163-E163)</f>
        <v>12</v>
      </c>
      <c r="K163" s="29">
        <f>J163/E163</f>
        <v>7.5471698113207544E-2</v>
      </c>
      <c r="L163" s="2">
        <f>ABS(G163-E163)</f>
        <v>5</v>
      </c>
      <c r="M163" s="50">
        <f>(L163/E163)</f>
        <v>3.1446540880503145E-2</v>
      </c>
      <c r="N163" s="2">
        <v>165</v>
      </c>
      <c r="O163" s="11">
        <f t="shared" si="4"/>
        <v>6</v>
      </c>
      <c r="P163" s="29">
        <f t="shared" si="5"/>
        <v>3.7735849056603772E-2</v>
      </c>
    </row>
    <row r="164" spans="1:16" x14ac:dyDescent="0.35">
      <c r="A164" s="2" t="s">
        <v>42</v>
      </c>
      <c r="B164" s="2" t="s">
        <v>41</v>
      </c>
      <c r="C164" s="2" t="s">
        <v>37</v>
      </c>
      <c r="D164" s="2" t="s">
        <v>30</v>
      </c>
      <c r="E164" s="2">
        <v>147</v>
      </c>
      <c r="F164" s="2">
        <v>180</v>
      </c>
      <c r="G164" s="2">
        <v>154</v>
      </c>
      <c r="H164" s="2">
        <v>0</v>
      </c>
      <c r="I164" s="2">
        <v>0</v>
      </c>
      <c r="J164" s="2">
        <f>ABS(F164-E164)</f>
        <v>33</v>
      </c>
      <c r="K164" s="29">
        <f>J164/E164</f>
        <v>0.22448979591836735</v>
      </c>
      <c r="L164" s="2">
        <f>ABS(G164-E164)</f>
        <v>7</v>
      </c>
      <c r="M164" s="50">
        <f>(L164/E164)</f>
        <v>4.7619047619047616E-2</v>
      </c>
      <c r="N164" s="2">
        <v>155</v>
      </c>
      <c r="O164" s="11">
        <f t="shared" si="4"/>
        <v>8</v>
      </c>
      <c r="P164" s="29">
        <f t="shared" si="5"/>
        <v>5.4421768707482991E-2</v>
      </c>
    </row>
    <row r="165" spans="1:16" x14ac:dyDescent="0.35">
      <c r="A165" s="2" t="s">
        <v>42</v>
      </c>
      <c r="B165" s="2" t="s">
        <v>41</v>
      </c>
      <c r="C165" s="2" t="s">
        <v>37</v>
      </c>
      <c r="D165" s="2" t="s">
        <v>31</v>
      </c>
      <c r="E165" s="2">
        <v>126</v>
      </c>
      <c r="F165" s="2">
        <v>108</v>
      </c>
      <c r="G165" s="2">
        <v>132</v>
      </c>
      <c r="H165" s="2">
        <v>0</v>
      </c>
      <c r="I165" s="2">
        <v>0</v>
      </c>
      <c r="J165" s="2">
        <f>ABS(F165-E165)</f>
        <v>18</v>
      </c>
      <c r="K165" s="29">
        <f>J165/E165</f>
        <v>0.14285714285714285</v>
      </c>
      <c r="L165" s="2">
        <f>ABS(G165-E165)</f>
        <v>6</v>
      </c>
      <c r="M165" s="50">
        <f>(L165/E165)</f>
        <v>4.7619047619047616E-2</v>
      </c>
      <c r="N165" s="2">
        <v>116</v>
      </c>
      <c r="O165" s="11">
        <f t="shared" si="4"/>
        <v>10</v>
      </c>
      <c r="P165" s="29">
        <f t="shared" si="5"/>
        <v>7.9365079365079361E-2</v>
      </c>
    </row>
    <row r="166" spans="1:16" x14ac:dyDescent="0.35">
      <c r="A166" s="2" t="s">
        <v>42</v>
      </c>
      <c r="B166" s="2" t="s">
        <v>41</v>
      </c>
      <c r="C166" s="2" t="s">
        <v>37</v>
      </c>
      <c r="D166" s="2" t="s">
        <v>32</v>
      </c>
      <c r="E166" s="2">
        <v>120</v>
      </c>
      <c r="F166" s="2">
        <v>151</v>
      </c>
      <c r="G166" s="2">
        <v>135</v>
      </c>
      <c r="H166" s="2">
        <v>0</v>
      </c>
      <c r="I166" s="2">
        <v>0</v>
      </c>
      <c r="J166" s="2">
        <f>ABS(F166-E166)</f>
        <v>31</v>
      </c>
      <c r="K166" s="29">
        <f>J166/E166</f>
        <v>0.25833333333333336</v>
      </c>
      <c r="L166" s="2">
        <f>ABS(G166-E166)</f>
        <v>15</v>
      </c>
      <c r="M166" s="50">
        <f>(L166/E166)</f>
        <v>0.125</v>
      </c>
      <c r="N166" s="2">
        <v>133</v>
      </c>
      <c r="O166" s="11">
        <f t="shared" si="4"/>
        <v>13</v>
      </c>
      <c r="P166" s="29">
        <f t="shared" si="5"/>
        <v>0.10833333333333334</v>
      </c>
    </row>
    <row r="167" spans="1:16" x14ac:dyDescent="0.35">
      <c r="A167" s="2" t="s">
        <v>42</v>
      </c>
      <c r="B167" s="2" t="s">
        <v>41</v>
      </c>
      <c r="C167" s="2" t="s">
        <v>37</v>
      </c>
      <c r="D167" s="2" t="s">
        <v>33</v>
      </c>
      <c r="E167" s="2">
        <v>149</v>
      </c>
      <c r="F167" s="2">
        <v>180</v>
      </c>
      <c r="G167" s="2">
        <v>153</v>
      </c>
      <c r="H167" s="2">
        <v>0</v>
      </c>
      <c r="I167" s="2">
        <v>0</v>
      </c>
      <c r="J167" s="2">
        <f>ABS(F167-E167)</f>
        <v>31</v>
      </c>
      <c r="K167" s="29">
        <f>J167/E167</f>
        <v>0.20805369127516779</v>
      </c>
      <c r="L167" s="2">
        <f>ABS(G167-E167)</f>
        <v>4</v>
      </c>
      <c r="M167" s="50">
        <f>(L167/E167)</f>
        <v>2.6845637583892617E-2</v>
      </c>
      <c r="N167" s="2">
        <v>151</v>
      </c>
      <c r="O167" s="11">
        <f t="shared" si="4"/>
        <v>2</v>
      </c>
      <c r="P167" s="29">
        <f t="shared" si="5"/>
        <v>1.3422818791946308E-2</v>
      </c>
    </row>
    <row r="168" spans="1:16" x14ac:dyDescent="0.35">
      <c r="A168" s="2" t="s">
        <v>42</v>
      </c>
      <c r="B168" s="2" t="s">
        <v>41</v>
      </c>
      <c r="C168" s="2" t="s">
        <v>37</v>
      </c>
      <c r="D168" s="2" t="s">
        <v>34</v>
      </c>
      <c r="E168" s="2">
        <v>165</v>
      </c>
      <c r="F168" s="2">
        <v>178</v>
      </c>
      <c r="G168" s="2">
        <v>156</v>
      </c>
      <c r="H168" s="2">
        <v>0</v>
      </c>
      <c r="I168" s="2">
        <v>0</v>
      </c>
      <c r="J168" s="2">
        <f>ABS(F168-E168)</f>
        <v>13</v>
      </c>
      <c r="K168" s="29">
        <f>J168/E168</f>
        <v>7.8787878787878782E-2</v>
      </c>
      <c r="L168" s="2">
        <f>ABS(G168-E168)</f>
        <v>9</v>
      </c>
      <c r="M168" s="50">
        <f>(L168/E168)</f>
        <v>5.4545454545454543E-2</v>
      </c>
      <c r="N168" s="2">
        <v>161</v>
      </c>
      <c r="O168" s="11">
        <f t="shared" si="4"/>
        <v>4</v>
      </c>
      <c r="P168" s="29">
        <f t="shared" si="5"/>
        <v>2.4242424242424242E-2</v>
      </c>
    </row>
    <row r="169" spans="1:16" x14ac:dyDescent="0.35">
      <c r="A169" s="2" t="s">
        <v>42</v>
      </c>
      <c r="B169" s="2" t="s">
        <v>41</v>
      </c>
      <c r="C169" s="2" t="s">
        <v>37</v>
      </c>
      <c r="D169" s="2" t="s">
        <v>35</v>
      </c>
      <c r="E169" s="2">
        <v>177</v>
      </c>
      <c r="F169" s="2">
        <v>185</v>
      </c>
      <c r="G169" s="2">
        <v>180</v>
      </c>
      <c r="H169" s="2">
        <v>0</v>
      </c>
      <c r="I169" s="2">
        <v>0</v>
      </c>
      <c r="J169" s="2">
        <f>ABS(F169-E169)</f>
        <v>8</v>
      </c>
      <c r="K169" s="29">
        <f>J169/E169</f>
        <v>4.519774011299435E-2</v>
      </c>
      <c r="L169" s="2">
        <f>ABS(G169-E169)</f>
        <v>3</v>
      </c>
      <c r="M169" s="50">
        <f>(L169/E169)</f>
        <v>1.6949152542372881E-2</v>
      </c>
      <c r="N169" s="2">
        <v>167</v>
      </c>
      <c r="O169" s="11">
        <f t="shared" si="4"/>
        <v>10</v>
      </c>
      <c r="P169" s="29">
        <f t="shared" si="5"/>
        <v>5.6497175141242938E-2</v>
      </c>
    </row>
    <row r="170" spans="1:16" x14ac:dyDescent="0.35">
      <c r="A170" s="2" t="s">
        <v>42</v>
      </c>
      <c r="B170" s="2" t="s">
        <v>41</v>
      </c>
      <c r="C170" s="2" t="s">
        <v>38</v>
      </c>
      <c r="D170" s="2" t="s">
        <v>12</v>
      </c>
      <c r="E170" s="2">
        <v>119</v>
      </c>
      <c r="F170" s="2">
        <v>134</v>
      </c>
      <c r="G170" s="2">
        <v>120</v>
      </c>
      <c r="H170" s="2">
        <v>0</v>
      </c>
      <c r="I170" s="2">
        <v>0</v>
      </c>
      <c r="J170" s="2">
        <f>ABS(F170-E170)</f>
        <v>15</v>
      </c>
      <c r="K170" s="29">
        <f>J170/E170</f>
        <v>0.12605042016806722</v>
      </c>
      <c r="L170" s="2">
        <f>ABS(G170-E170)</f>
        <v>1</v>
      </c>
      <c r="M170" s="50">
        <f>(L170/E170)</f>
        <v>8.4033613445378148E-3</v>
      </c>
      <c r="N170" s="2">
        <v>123</v>
      </c>
      <c r="O170" s="11">
        <f t="shared" si="4"/>
        <v>4</v>
      </c>
      <c r="P170" s="29">
        <f t="shared" si="5"/>
        <v>3.3613445378151259E-2</v>
      </c>
    </row>
    <row r="171" spans="1:16" x14ac:dyDescent="0.35">
      <c r="A171" s="2" t="s">
        <v>42</v>
      </c>
      <c r="B171" s="2" t="s">
        <v>41</v>
      </c>
      <c r="C171" s="2" t="s">
        <v>38</v>
      </c>
      <c r="D171" s="2" t="s">
        <v>13</v>
      </c>
      <c r="E171" s="2">
        <v>142</v>
      </c>
      <c r="F171" s="2">
        <v>147</v>
      </c>
      <c r="G171" s="2">
        <v>128</v>
      </c>
      <c r="H171" s="2">
        <v>0</v>
      </c>
      <c r="I171" s="2">
        <v>0</v>
      </c>
      <c r="J171" s="2">
        <f>ABS(F171-E171)</f>
        <v>5</v>
      </c>
      <c r="K171" s="29">
        <f>J171/E171</f>
        <v>3.5211267605633804E-2</v>
      </c>
      <c r="L171" s="2">
        <f>ABS(G171-E171)</f>
        <v>14</v>
      </c>
      <c r="M171" s="50">
        <f>(L171/E171)</f>
        <v>9.8591549295774641E-2</v>
      </c>
      <c r="N171" s="2">
        <v>134</v>
      </c>
      <c r="O171" s="11">
        <f t="shared" si="4"/>
        <v>8</v>
      </c>
      <c r="P171" s="29">
        <f t="shared" si="5"/>
        <v>5.6338028169014086E-2</v>
      </c>
    </row>
    <row r="172" spans="1:16" x14ac:dyDescent="0.35">
      <c r="A172" s="2" t="s">
        <v>42</v>
      </c>
      <c r="B172" s="2" t="s">
        <v>41</v>
      </c>
      <c r="C172" s="2" t="s">
        <v>38</v>
      </c>
      <c r="D172" s="2" t="s">
        <v>14</v>
      </c>
      <c r="E172" s="2">
        <v>140</v>
      </c>
      <c r="F172" s="2">
        <v>118</v>
      </c>
      <c r="G172" s="2">
        <v>136</v>
      </c>
      <c r="H172" s="2">
        <v>1</v>
      </c>
      <c r="I172" s="2">
        <v>0</v>
      </c>
      <c r="J172" s="2">
        <f>ABS(F172-E172)</f>
        <v>22</v>
      </c>
      <c r="K172" s="29">
        <f>J172/E172</f>
        <v>0.15714285714285714</v>
      </c>
      <c r="L172" s="2">
        <f>ABS(G172-E172)</f>
        <v>4</v>
      </c>
      <c r="M172" s="50">
        <f>(L172/E172)</f>
        <v>2.8571428571428571E-2</v>
      </c>
      <c r="N172" s="2">
        <v>132</v>
      </c>
      <c r="O172" s="11">
        <f t="shared" si="4"/>
        <v>8</v>
      </c>
      <c r="P172" s="29">
        <f t="shared" si="5"/>
        <v>5.7142857142857141E-2</v>
      </c>
    </row>
    <row r="173" spans="1:16" x14ac:dyDescent="0.35">
      <c r="A173" s="2" t="s">
        <v>42</v>
      </c>
      <c r="B173" s="2" t="s">
        <v>41</v>
      </c>
      <c r="C173" s="2" t="s">
        <v>38</v>
      </c>
      <c r="D173" s="2" t="s">
        <v>15</v>
      </c>
      <c r="E173" s="2">
        <v>152</v>
      </c>
      <c r="F173" s="2">
        <v>153</v>
      </c>
      <c r="G173" s="2">
        <v>148</v>
      </c>
      <c r="H173" s="2">
        <v>0</v>
      </c>
      <c r="I173" s="2">
        <v>0</v>
      </c>
      <c r="J173" s="2">
        <f>ABS(F173-E173)</f>
        <v>1</v>
      </c>
      <c r="K173" s="29">
        <f>J173/E173</f>
        <v>6.5789473684210523E-3</v>
      </c>
      <c r="L173" s="2">
        <f>ABS(G173-E173)</f>
        <v>4</v>
      </c>
      <c r="M173" s="50">
        <f>(L173/E173)</f>
        <v>2.6315789473684209E-2</v>
      </c>
      <c r="N173" s="2">
        <v>149</v>
      </c>
      <c r="O173" s="11">
        <f t="shared" si="4"/>
        <v>3</v>
      </c>
      <c r="P173" s="29">
        <f t="shared" si="5"/>
        <v>1.9736842105263157E-2</v>
      </c>
    </row>
    <row r="174" spans="1:16" x14ac:dyDescent="0.35">
      <c r="A174" s="2" t="s">
        <v>42</v>
      </c>
      <c r="B174" s="2" t="s">
        <v>41</v>
      </c>
      <c r="C174" s="2" t="s">
        <v>38</v>
      </c>
      <c r="D174" s="2" t="s">
        <v>16</v>
      </c>
      <c r="E174" s="2">
        <v>139</v>
      </c>
      <c r="F174" s="2">
        <v>165</v>
      </c>
      <c r="G174" s="2">
        <v>128</v>
      </c>
      <c r="H174" s="2">
        <v>0</v>
      </c>
      <c r="I174" s="2">
        <v>0</v>
      </c>
      <c r="J174" s="2">
        <f>ABS(F174-E174)</f>
        <v>26</v>
      </c>
      <c r="K174" s="29">
        <f>J174/E174</f>
        <v>0.18705035971223022</v>
      </c>
      <c r="L174" s="2">
        <f>ABS(G174-E174)</f>
        <v>11</v>
      </c>
      <c r="M174" s="50">
        <f>(L174/E174)</f>
        <v>7.9136690647482008E-2</v>
      </c>
      <c r="N174" s="2">
        <v>142</v>
      </c>
      <c r="O174" s="11">
        <f t="shared" si="4"/>
        <v>3</v>
      </c>
      <c r="P174" s="29">
        <f t="shared" si="5"/>
        <v>2.1582733812949641E-2</v>
      </c>
    </row>
    <row r="175" spans="1:16" x14ac:dyDescent="0.35">
      <c r="A175" s="2" t="s">
        <v>42</v>
      </c>
      <c r="B175" s="2" t="s">
        <v>41</v>
      </c>
      <c r="C175" s="2" t="s">
        <v>38</v>
      </c>
      <c r="D175" s="2" t="s">
        <v>17</v>
      </c>
      <c r="E175" s="2">
        <v>132</v>
      </c>
      <c r="F175" s="2">
        <v>141</v>
      </c>
      <c r="G175" s="2">
        <v>132</v>
      </c>
      <c r="H175" s="2">
        <v>1</v>
      </c>
      <c r="I175" s="2">
        <v>0</v>
      </c>
      <c r="J175" s="2">
        <f>ABS(F175-E175)</f>
        <v>9</v>
      </c>
      <c r="K175" s="29">
        <f>J175/E175</f>
        <v>6.8181818181818177E-2</v>
      </c>
      <c r="L175" s="2">
        <f>ABS(G175-E175)</f>
        <v>0</v>
      </c>
      <c r="M175" s="50">
        <f>(L175/E175)</f>
        <v>0</v>
      </c>
      <c r="N175" s="2">
        <v>134</v>
      </c>
      <c r="O175" s="11">
        <f t="shared" si="4"/>
        <v>2</v>
      </c>
      <c r="P175" s="29">
        <f t="shared" si="5"/>
        <v>1.5151515151515152E-2</v>
      </c>
    </row>
    <row r="176" spans="1:16" x14ac:dyDescent="0.35">
      <c r="A176" s="2" t="s">
        <v>42</v>
      </c>
      <c r="B176" s="2" t="s">
        <v>41</v>
      </c>
      <c r="C176" s="2" t="s">
        <v>38</v>
      </c>
      <c r="D176" s="2" t="s">
        <v>18</v>
      </c>
      <c r="E176" s="2">
        <v>118</v>
      </c>
      <c r="F176" s="2">
        <v>112</v>
      </c>
      <c r="G176" s="2">
        <v>115</v>
      </c>
      <c r="H176" s="2">
        <v>0</v>
      </c>
      <c r="I176" s="2">
        <v>0</v>
      </c>
      <c r="J176" s="2">
        <f>ABS(F176-E176)</f>
        <v>6</v>
      </c>
      <c r="K176" s="29">
        <f>J176/E176</f>
        <v>5.0847457627118647E-2</v>
      </c>
      <c r="L176" s="2">
        <f>ABS(G176-E176)</f>
        <v>3</v>
      </c>
      <c r="M176" s="50">
        <f>(L176/E176)</f>
        <v>2.5423728813559324E-2</v>
      </c>
      <c r="N176" s="2">
        <v>120</v>
      </c>
      <c r="O176" s="11">
        <f t="shared" si="4"/>
        <v>2</v>
      </c>
      <c r="P176" s="29">
        <f t="shared" si="5"/>
        <v>1.6949152542372881E-2</v>
      </c>
    </row>
    <row r="177" spans="1:16" x14ac:dyDescent="0.35">
      <c r="A177" s="2" t="s">
        <v>42</v>
      </c>
      <c r="B177" s="2" t="s">
        <v>41</v>
      </c>
      <c r="C177" s="2" t="s">
        <v>38</v>
      </c>
      <c r="D177" s="2" t="s">
        <v>19</v>
      </c>
      <c r="E177" s="2">
        <v>102</v>
      </c>
      <c r="F177" s="2">
        <v>122</v>
      </c>
      <c r="G177" s="2">
        <v>107</v>
      </c>
      <c r="H177" s="2">
        <v>1</v>
      </c>
      <c r="I177" s="2">
        <v>0</v>
      </c>
      <c r="J177" s="2">
        <f>ABS(F177-E177)</f>
        <v>20</v>
      </c>
      <c r="K177" s="29">
        <f>J177/E177</f>
        <v>0.19607843137254902</v>
      </c>
      <c r="L177" s="2">
        <f>ABS(G177-E177)</f>
        <v>5</v>
      </c>
      <c r="M177" s="50">
        <f>(L177/E177)</f>
        <v>4.9019607843137254E-2</v>
      </c>
      <c r="N177" s="2">
        <v>114</v>
      </c>
      <c r="O177" s="11">
        <f t="shared" si="4"/>
        <v>12</v>
      </c>
      <c r="P177" s="29">
        <f t="shared" si="5"/>
        <v>0.11764705882352941</v>
      </c>
    </row>
    <row r="178" spans="1:16" x14ac:dyDescent="0.35">
      <c r="A178" s="2" t="s">
        <v>42</v>
      </c>
      <c r="B178" s="2" t="s">
        <v>41</v>
      </c>
      <c r="C178" s="2" t="s">
        <v>38</v>
      </c>
      <c r="D178" s="2" t="s">
        <v>20</v>
      </c>
      <c r="E178" s="2">
        <v>104</v>
      </c>
      <c r="F178" s="2">
        <v>97</v>
      </c>
      <c r="G178" s="2">
        <v>107</v>
      </c>
      <c r="H178" s="2">
        <v>0</v>
      </c>
      <c r="I178" s="2">
        <v>0</v>
      </c>
      <c r="J178" s="2">
        <f>ABS(F178-E178)</f>
        <v>7</v>
      </c>
      <c r="K178" s="29">
        <f>J178/E178</f>
        <v>6.7307692307692304E-2</v>
      </c>
      <c r="L178" s="2">
        <f>ABS(G178-E178)</f>
        <v>3</v>
      </c>
      <c r="M178" s="50">
        <f>(L178/E178)</f>
        <v>2.8846153846153848E-2</v>
      </c>
      <c r="N178" s="2">
        <v>101</v>
      </c>
      <c r="O178" s="11">
        <f t="shared" si="4"/>
        <v>3</v>
      </c>
      <c r="P178" s="29">
        <f t="shared" si="5"/>
        <v>2.8846153846153848E-2</v>
      </c>
    </row>
    <row r="179" spans="1:16" x14ac:dyDescent="0.35">
      <c r="A179" s="2" t="s">
        <v>42</v>
      </c>
      <c r="B179" s="2" t="s">
        <v>41</v>
      </c>
      <c r="C179" s="2" t="s">
        <v>38</v>
      </c>
      <c r="D179" s="2" t="s">
        <v>21</v>
      </c>
      <c r="E179" s="2">
        <v>104</v>
      </c>
      <c r="F179" s="2">
        <v>113</v>
      </c>
      <c r="G179" s="2">
        <v>107</v>
      </c>
      <c r="H179" s="2">
        <v>0</v>
      </c>
      <c r="I179" s="2">
        <v>0</v>
      </c>
      <c r="J179" s="2">
        <f>ABS(F179-E179)</f>
        <v>9</v>
      </c>
      <c r="K179" s="29">
        <f>J179/E179</f>
        <v>8.6538461538461536E-2</v>
      </c>
      <c r="L179" s="2">
        <f>ABS(G179-E179)</f>
        <v>3</v>
      </c>
      <c r="M179" s="50">
        <f>(L179/E179)</f>
        <v>2.8846153846153848E-2</v>
      </c>
      <c r="N179" s="2">
        <v>103</v>
      </c>
      <c r="O179" s="11">
        <f t="shared" si="4"/>
        <v>1</v>
      </c>
      <c r="P179" s="29">
        <f t="shared" si="5"/>
        <v>9.6153846153846159E-3</v>
      </c>
    </row>
    <row r="180" spans="1:16" x14ac:dyDescent="0.35">
      <c r="A180" s="2" t="s">
        <v>42</v>
      </c>
      <c r="B180" s="2" t="s">
        <v>41</v>
      </c>
      <c r="C180" s="2" t="s">
        <v>38</v>
      </c>
      <c r="D180" s="2" t="s">
        <v>22</v>
      </c>
      <c r="E180" s="2">
        <v>88</v>
      </c>
      <c r="F180" s="2">
        <v>73</v>
      </c>
      <c r="G180" s="2">
        <v>88</v>
      </c>
      <c r="H180" s="2">
        <v>0</v>
      </c>
      <c r="I180" s="2">
        <v>0</v>
      </c>
      <c r="J180" s="2">
        <f>ABS(F180-E180)</f>
        <v>15</v>
      </c>
      <c r="K180" s="29">
        <f>J180/E180</f>
        <v>0.17045454545454544</v>
      </c>
      <c r="L180" s="2">
        <f>ABS(G180-E180)</f>
        <v>0</v>
      </c>
      <c r="M180" s="50">
        <f>(L180/E180)</f>
        <v>0</v>
      </c>
      <c r="N180" s="2">
        <v>83</v>
      </c>
      <c r="O180" s="11">
        <f t="shared" si="4"/>
        <v>5</v>
      </c>
      <c r="P180" s="29">
        <f t="shared" si="5"/>
        <v>5.6818181818181816E-2</v>
      </c>
    </row>
    <row r="181" spans="1:16" x14ac:dyDescent="0.35">
      <c r="A181" s="2" t="s">
        <v>42</v>
      </c>
      <c r="B181" s="2" t="s">
        <v>41</v>
      </c>
      <c r="C181" s="2" t="s">
        <v>38</v>
      </c>
      <c r="D181" s="2" t="s">
        <v>23</v>
      </c>
      <c r="E181" s="2">
        <v>65</v>
      </c>
      <c r="F181" s="2">
        <v>68</v>
      </c>
      <c r="G181" s="2">
        <v>61</v>
      </c>
      <c r="H181" s="2">
        <v>0</v>
      </c>
      <c r="I181" s="2">
        <v>1</v>
      </c>
      <c r="J181" s="2">
        <f>ABS(F181-E181)</f>
        <v>3</v>
      </c>
      <c r="K181" s="29">
        <f>J181/E181</f>
        <v>4.6153846153846156E-2</v>
      </c>
      <c r="L181" s="2">
        <f>ABS(G181-E181)</f>
        <v>4</v>
      </c>
      <c r="M181" s="50">
        <f>(L181/E181)</f>
        <v>6.1538461538461542E-2</v>
      </c>
      <c r="N181" s="2">
        <v>66</v>
      </c>
      <c r="O181" s="11">
        <f t="shared" si="4"/>
        <v>1</v>
      </c>
      <c r="P181" s="29">
        <f t="shared" si="5"/>
        <v>1.5384615384615385E-2</v>
      </c>
    </row>
    <row r="182" spans="1:16" x14ac:dyDescent="0.35">
      <c r="A182" s="2" t="s">
        <v>42</v>
      </c>
      <c r="B182" s="2" t="s">
        <v>41</v>
      </c>
      <c r="C182" s="2" t="s">
        <v>38</v>
      </c>
      <c r="D182" s="2" t="s">
        <v>24</v>
      </c>
      <c r="E182" s="2">
        <v>126</v>
      </c>
      <c r="F182" s="2">
        <v>139</v>
      </c>
      <c r="G182" s="2">
        <v>123</v>
      </c>
      <c r="H182" s="2">
        <v>0</v>
      </c>
      <c r="I182" s="2">
        <v>0</v>
      </c>
      <c r="J182" s="2">
        <f>ABS(F182-E182)</f>
        <v>13</v>
      </c>
      <c r="K182" s="29">
        <f>J182/E182</f>
        <v>0.10317460317460317</v>
      </c>
      <c r="L182" s="2">
        <f>ABS(G182-E182)</f>
        <v>3</v>
      </c>
      <c r="M182" s="50">
        <f>(L182/E182)</f>
        <v>2.3809523809523808E-2</v>
      </c>
      <c r="N182" s="2">
        <v>127</v>
      </c>
      <c r="O182" s="11">
        <f t="shared" si="4"/>
        <v>1</v>
      </c>
      <c r="P182" s="29">
        <f t="shared" si="5"/>
        <v>7.9365079365079361E-3</v>
      </c>
    </row>
    <row r="183" spans="1:16" x14ac:dyDescent="0.35">
      <c r="A183" s="2" t="s">
        <v>42</v>
      </c>
      <c r="B183" s="2" t="s">
        <v>41</v>
      </c>
      <c r="C183" s="2" t="s">
        <v>38</v>
      </c>
      <c r="D183" s="2" t="s">
        <v>25</v>
      </c>
      <c r="E183" s="2">
        <v>148</v>
      </c>
      <c r="F183" s="2">
        <v>171</v>
      </c>
      <c r="G183" s="2">
        <v>144</v>
      </c>
      <c r="H183" s="2">
        <v>1</v>
      </c>
      <c r="I183" s="2">
        <v>0</v>
      </c>
      <c r="J183" s="2">
        <f>ABS(F183-E183)</f>
        <v>23</v>
      </c>
      <c r="K183" s="29">
        <f>J183/E183</f>
        <v>0.1554054054054054</v>
      </c>
      <c r="L183" s="2">
        <f>ABS(G183-E183)</f>
        <v>4</v>
      </c>
      <c r="M183" s="50">
        <f>(L183/E183)</f>
        <v>2.7027027027027029E-2</v>
      </c>
      <c r="N183" s="2">
        <v>150</v>
      </c>
      <c r="O183" s="11">
        <f t="shared" si="4"/>
        <v>2</v>
      </c>
      <c r="P183" s="29">
        <f t="shared" si="5"/>
        <v>1.3513513513513514E-2</v>
      </c>
    </row>
    <row r="184" spans="1:16" x14ac:dyDescent="0.35">
      <c r="A184" s="2" t="s">
        <v>42</v>
      </c>
      <c r="B184" s="2" t="s">
        <v>41</v>
      </c>
      <c r="C184" s="2" t="s">
        <v>38</v>
      </c>
      <c r="D184" s="2" t="s">
        <v>26</v>
      </c>
      <c r="E184" s="2">
        <v>146</v>
      </c>
      <c r="F184" s="2">
        <v>146</v>
      </c>
      <c r="G184" s="2">
        <v>139</v>
      </c>
      <c r="H184" s="2">
        <v>0</v>
      </c>
      <c r="I184" s="2">
        <v>0</v>
      </c>
      <c r="J184" s="2">
        <f>ABS(F184-E184)</f>
        <v>0</v>
      </c>
      <c r="K184" s="29">
        <f>J184/E184</f>
        <v>0</v>
      </c>
      <c r="L184" s="2">
        <f>ABS(G184-E184)</f>
        <v>7</v>
      </c>
      <c r="M184" s="50">
        <f>(L184/E184)</f>
        <v>4.7945205479452052E-2</v>
      </c>
      <c r="N184" s="2">
        <v>141</v>
      </c>
      <c r="O184" s="11">
        <f t="shared" si="4"/>
        <v>5</v>
      </c>
      <c r="P184" s="29">
        <f t="shared" si="5"/>
        <v>3.4246575342465752E-2</v>
      </c>
    </row>
    <row r="185" spans="1:16" x14ac:dyDescent="0.35">
      <c r="A185" s="2" t="s">
        <v>42</v>
      </c>
      <c r="B185" s="2" t="s">
        <v>41</v>
      </c>
      <c r="C185" s="2" t="s">
        <v>38</v>
      </c>
      <c r="D185" s="2" t="s">
        <v>27</v>
      </c>
      <c r="E185" s="2">
        <v>139</v>
      </c>
      <c r="F185" s="2">
        <v>122</v>
      </c>
      <c r="G185" s="2">
        <v>136</v>
      </c>
      <c r="H185" s="2">
        <v>0</v>
      </c>
      <c r="I185" s="2">
        <v>0</v>
      </c>
      <c r="J185" s="2">
        <f>ABS(F185-E185)</f>
        <v>17</v>
      </c>
      <c r="K185" s="29">
        <f>J185/E185</f>
        <v>0.1223021582733813</v>
      </c>
      <c r="L185" s="2">
        <f>ABS(G185-E185)</f>
        <v>3</v>
      </c>
      <c r="M185" s="50">
        <f>(L185/E185)</f>
        <v>2.1582733812949641E-2</v>
      </c>
      <c r="N185" s="2">
        <v>133</v>
      </c>
      <c r="O185" s="11">
        <f t="shared" si="4"/>
        <v>6</v>
      </c>
      <c r="P185" s="29">
        <f t="shared" si="5"/>
        <v>4.3165467625899283E-2</v>
      </c>
    </row>
    <row r="186" spans="1:16" x14ac:dyDescent="0.35">
      <c r="A186" s="2" t="s">
        <v>42</v>
      </c>
      <c r="B186" s="2" t="s">
        <v>41</v>
      </c>
      <c r="C186" s="2" t="s">
        <v>38</v>
      </c>
      <c r="D186" s="2" t="s">
        <v>28</v>
      </c>
      <c r="E186" s="2">
        <v>143</v>
      </c>
      <c r="F186" s="2">
        <v>140</v>
      </c>
      <c r="G186" s="2">
        <v>146</v>
      </c>
      <c r="H186" s="2">
        <v>0</v>
      </c>
      <c r="I186" s="2">
        <v>0</v>
      </c>
      <c r="J186" s="2">
        <f>ABS(F186-E186)</f>
        <v>3</v>
      </c>
      <c r="K186" s="29">
        <f>J186/E186</f>
        <v>2.097902097902098E-2</v>
      </c>
      <c r="L186" s="2">
        <f>ABS(G186-E186)</f>
        <v>3</v>
      </c>
      <c r="M186" s="50">
        <f>(L186/E186)</f>
        <v>2.097902097902098E-2</v>
      </c>
      <c r="N186" s="2">
        <v>139</v>
      </c>
      <c r="O186" s="11">
        <f t="shared" si="4"/>
        <v>4</v>
      </c>
      <c r="P186" s="29">
        <f t="shared" si="5"/>
        <v>2.7972027972027972E-2</v>
      </c>
    </row>
    <row r="187" spans="1:16" x14ac:dyDescent="0.35">
      <c r="A187" s="2" t="s">
        <v>42</v>
      </c>
      <c r="B187" s="2" t="s">
        <v>41</v>
      </c>
      <c r="C187" s="2" t="s">
        <v>38</v>
      </c>
      <c r="D187" s="2" t="s">
        <v>29</v>
      </c>
      <c r="E187" s="2">
        <v>128</v>
      </c>
      <c r="F187" s="2">
        <v>146</v>
      </c>
      <c r="G187" s="2">
        <v>123</v>
      </c>
      <c r="H187" s="2">
        <v>0</v>
      </c>
      <c r="I187" s="2">
        <v>0</v>
      </c>
      <c r="J187" s="2">
        <f>ABS(F187-E187)</f>
        <v>18</v>
      </c>
      <c r="K187" s="29">
        <f>J187/E187</f>
        <v>0.140625</v>
      </c>
      <c r="L187" s="2">
        <f>ABS(G187-E187)</f>
        <v>5</v>
      </c>
      <c r="M187" s="50">
        <f>(L187/E187)</f>
        <v>3.90625E-2</v>
      </c>
      <c r="N187" s="2">
        <v>136</v>
      </c>
      <c r="O187" s="11">
        <f t="shared" si="4"/>
        <v>8</v>
      </c>
      <c r="P187" s="29">
        <f t="shared" si="5"/>
        <v>6.25E-2</v>
      </c>
    </row>
    <row r="188" spans="1:16" x14ac:dyDescent="0.35">
      <c r="A188" s="2" t="s">
        <v>42</v>
      </c>
      <c r="B188" s="2" t="s">
        <v>41</v>
      </c>
      <c r="C188" s="2" t="s">
        <v>38</v>
      </c>
      <c r="D188" s="2" t="s">
        <v>30</v>
      </c>
      <c r="E188" s="2">
        <v>98</v>
      </c>
      <c r="F188" s="2">
        <v>105</v>
      </c>
      <c r="G188" s="2">
        <v>99</v>
      </c>
      <c r="H188" s="2">
        <v>0</v>
      </c>
      <c r="I188" s="2">
        <v>0</v>
      </c>
      <c r="J188" s="2">
        <f>ABS(F188-E188)</f>
        <v>7</v>
      </c>
      <c r="K188" s="29">
        <f>J188/E188</f>
        <v>7.1428571428571425E-2</v>
      </c>
      <c r="L188" s="2">
        <f>ABS(G188-E188)</f>
        <v>1</v>
      </c>
      <c r="M188" s="50">
        <f>(L188/E188)</f>
        <v>1.020408163265306E-2</v>
      </c>
      <c r="N188" s="2">
        <v>107</v>
      </c>
      <c r="O188" s="11">
        <f t="shared" si="4"/>
        <v>9</v>
      </c>
      <c r="P188" s="29">
        <f t="shared" si="5"/>
        <v>9.1836734693877556E-2</v>
      </c>
    </row>
    <row r="189" spans="1:16" x14ac:dyDescent="0.35">
      <c r="A189" s="2" t="s">
        <v>42</v>
      </c>
      <c r="B189" s="2" t="s">
        <v>41</v>
      </c>
      <c r="C189" s="2" t="s">
        <v>38</v>
      </c>
      <c r="D189" s="2" t="s">
        <v>31</v>
      </c>
      <c r="E189" s="2">
        <v>108</v>
      </c>
      <c r="F189" s="2">
        <v>118</v>
      </c>
      <c r="G189" s="2">
        <v>111</v>
      </c>
      <c r="H189" s="2">
        <v>0</v>
      </c>
      <c r="I189" s="2">
        <v>0</v>
      </c>
      <c r="J189" s="2">
        <f>ABS(F189-E189)</f>
        <v>10</v>
      </c>
      <c r="K189" s="29">
        <f>J189/E189</f>
        <v>9.2592592592592587E-2</v>
      </c>
      <c r="L189" s="2">
        <f>ABS(G189-E189)</f>
        <v>3</v>
      </c>
      <c r="M189" s="50">
        <f>(L189/E189)</f>
        <v>2.7777777777777776E-2</v>
      </c>
      <c r="N189" s="2">
        <v>114</v>
      </c>
      <c r="O189" s="11">
        <f t="shared" si="4"/>
        <v>6</v>
      </c>
      <c r="P189" s="29">
        <f t="shared" si="5"/>
        <v>5.5555555555555552E-2</v>
      </c>
    </row>
    <row r="190" spans="1:16" x14ac:dyDescent="0.35">
      <c r="A190" s="2" t="s">
        <v>42</v>
      </c>
      <c r="B190" s="2" t="s">
        <v>41</v>
      </c>
      <c r="C190" s="2" t="s">
        <v>38</v>
      </c>
      <c r="D190" s="2" t="s">
        <v>32</v>
      </c>
      <c r="E190" s="2">
        <v>100</v>
      </c>
      <c r="F190" s="2">
        <v>133</v>
      </c>
      <c r="G190" s="2">
        <v>90</v>
      </c>
      <c r="H190" s="2">
        <v>1</v>
      </c>
      <c r="I190" s="2">
        <v>0</v>
      </c>
      <c r="J190" s="2">
        <f>ABS(F190-E190)</f>
        <v>33</v>
      </c>
      <c r="K190" s="29">
        <f>J190/E190</f>
        <v>0.33</v>
      </c>
      <c r="L190" s="2">
        <f>ABS(G190-E190)</f>
        <v>10</v>
      </c>
      <c r="M190" s="50">
        <f>(L190/E190)</f>
        <v>0.1</v>
      </c>
      <c r="N190" s="2">
        <v>114</v>
      </c>
      <c r="O190" s="11">
        <f t="shared" si="4"/>
        <v>14</v>
      </c>
      <c r="P190" s="29">
        <f t="shared" si="5"/>
        <v>0.14000000000000001</v>
      </c>
    </row>
    <row r="191" spans="1:16" x14ac:dyDescent="0.35">
      <c r="A191" s="2" t="s">
        <v>42</v>
      </c>
      <c r="B191" s="2" t="s">
        <v>41</v>
      </c>
      <c r="C191" s="2" t="s">
        <v>38</v>
      </c>
      <c r="D191" s="2" t="s">
        <v>33</v>
      </c>
      <c r="E191" s="2">
        <v>90</v>
      </c>
      <c r="F191" s="2">
        <v>104</v>
      </c>
      <c r="G191" s="2">
        <v>91</v>
      </c>
      <c r="H191" s="2">
        <v>0</v>
      </c>
      <c r="I191" s="2">
        <v>0</v>
      </c>
      <c r="J191" s="2">
        <f>ABS(F191-E191)</f>
        <v>14</v>
      </c>
      <c r="K191" s="29">
        <f>J191/E191</f>
        <v>0.15555555555555556</v>
      </c>
      <c r="L191" s="2">
        <f>ABS(G191-E191)</f>
        <v>1</v>
      </c>
      <c r="M191" s="50">
        <f>(L191/E191)</f>
        <v>1.1111111111111112E-2</v>
      </c>
      <c r="N191" s="2">
        <v>95</v>
      </c>
      <c r="O191" s="11">
        <f t="shared" si="4"/>
        <v>5</v>
      </c>
      <c r="P191" s="29">
        <f t="shared" si="5"/>
        <v>5.5555555555555552E-2</v>
      </c>
    </row>
    <row r="192" spans="1:16" x14ac:dyDescent="0.35">
      <c r="A192" s="2" t="s">
        <v>42</v>
      </c>
      <c r="B192" s="2" t="s">
        <v>41</v>
      </c>
      <c r="C192" s="2" t="s">
        <v>38</v>
      </c>
      <c r="D192" s="2" t="s">
        <v>34</v>
      </c>
      <c r="E192" s="2">
        <v>119</v>
      </c>
      <c r="F192" s="2">
        <v>147</v>
      </c>
      <c r="G192" s="2">
        <v>112</v>
      </c>
      <c r="H192" s="2">
        <v>0</v>
      </c>
      <c r="I192" s="2">
        <v>0</v>
      </c>
      <c r="J192" s="2">
        <f>ABS(F192-E192)</f>
        <v>28</v>
      </c>
      <c r="K192" s="29">
        <f>J192/E192</f>
        <v>0.23529411764705882</v>
      </c>
      <c r="L192" s="2">
        <f>ABS(G192-E192)</f>
        <v>7</v>
      </c>
      <c r="M192" s="50">
        <f>(L192/E192)</f>
        <v>5.8823529411764705E-2</v>
      </c>
      <c r="N192" s="2">
        <v>129</v>
      </c>
      <c r="O192" s="11">
        <f t="shared" si="4"/>
        <v>10</v>
      </c>
      <c r="P192" s="29">
        <f t="shared" si="5"/>
        <v>8.4033613445378158E-2</v>
      </c>
    </row>
    <row r="193" spans="1:16" x14ac:dyDescent="0.35">
      <c r="A193" s="2" t="s">
        <v>42</v>
      </c>
      <c r="B193" s="2" t="s">
        <v>41</v>
      </c>
      <c r="C193" s="2" t="s">
        <v>38</v>
      </c>
      <c r="D193" s="2" t="s">
        <v>35</v>
      </c>
      <c r="E193" s="2">
        <v>127</v>
      </c>
      <c r="F193" s="2">
        <v>132</v>
      </c>
      <c r="G193" s="2">
        <v>111</v>
      </c>
      <c r="H193" s="2">
        <v>0</v>
      </c>
      <c r="I193" s="2">
        <v>0</v>
      </c>
      <c r="J193" s="2">
        <f>ABS(F193-E193)</f>
        <v>5</v>
      </c>
      <c r="K193" s="29">
        <f>J193/E193</f>
        <v>3.937007874015748E-2</v>
      </c>
      <c r="L193" s="2">
        <f>ABS(G193-E193)</f>
        <v>16</v>
      </c>
      <c r="M193" s="50">
        <f>(L193/E193)</f>
        <v>0.12598425196850394</v>
      </c>
      <c r="N193" s="2">
        <v>121</v>
      </c>
      <c r="O193" s="11">
        <f t="shared" si="4"/>
        <v>6</v>
      </c>
      <c r="P193" s="29">
        <f t="shared" si="5"/>
        <v>4.7244094488188976E-2</v>
      </c>
    </row>
    <row r="194" spans="1:16" x14ac:dyDescent="0.35">
      <c r="A194" s="2" t="s">
        <v>46</v>
      </c>
      <c r="B194" s="2" t="s">
        <v>47</v>
      </c>
      <c r="C194" s="2" t="s">
        <v>11</v>
      </c>
      <c r="D194" s="2" t="s">
        <v>12</v>
      </c>
      <c r="E194" s="2">
        <v>84</v>
      </c>
      <c r="F194" s="2">
        <v>86</v>
      </c>
      <c r="G194" s="2">
        <v>79</v>
      </c>
      <c r="H194" s="2">
        <v>0</v>
      </c>
      <c r="I194" s="2">
        <v>1</v>
      </c>
      <c r="J194" s="2">
        <f>ABS(F194-E194)</f>
        <v>2</v>
      </c>
      <c r="K194" s="29">
        <f>J194/E194</f>
        <v>2.3809523809523808E-2</v>
      </c>
      <c r="L194" s="2">
        <f>ABS(G194-E194)</f>
        <v>5</v>
      </c>
      <c r="M194" s="50">
        <f>(L194/E194)</f>
        <v>5.9523809523809521E-2</v>
      </c>
      <c r="N194" s="2">
        <v>78</v>
      </c>
      <c r="O194" s="11">
        <f t="shared" si="4"/>
        <v>6</v>
      </c>
      <c r="P194" s="29">
        <f t="shared" si="5"/>
        <v>7.1428571428571425E-2</v>
      </c>
    </row>
    <row r="195" spans="1:16" x14ac:dyDescent="0.35">
      <c r="A195" s="2" t="s">
        <v>46</v>
      </c>
      <c r="B195" s="2" t="s">
        <v>47</v>
      </c>
      <c r="C195" s="2" t="s">
        <v>11</v>
      </c>
      <c r="D195" s="2" t="s">
        <v>13</v>
      </c>
      <c r="E195" s="2">
        <v>128</v>
      </c>
      <c r="F195" s="2">
        <v>142</v>
      </c>
      <c r="G195" s="2">
        <v>135</v>
      </c>
      <c r="H195" s="2">
        <v>1</v>
      </c>
      <c r="I195" s="2">
        <v>0</v>
      </c>
      <c r="J195" s="2">
        <f>ABS(F195-E195)</f>
        <v>14</v>
      </c>
      <c r="K195" s="29">
        <f>J195/E195</f>
        <v>0.109375</v>
      </c>
      <c r="L195" s="2">
        <f>ABS(G195-E195)</f>
        <v>7</v>
      </c>
      <c r="M195" s="50">
        <f>(L195/E195)</f>
        <v>5.46875E-2</v>
      </c>
      <c r="N195" s="2">
        <v>125</v>
      </c>
      <c r="O195" s="11">
        <f t="shared" ref="O195:O258" si="6">ABS(N195-E195)</f>
        <v>3</v>
      </c>
      <c r="P195" s="29">
        <f t="shared" ref="P195:P258" si="7">O195/E195</f>
        <v>2.34375E-2</v>
      </c>
    </row>
    <row r="196" spans="1:16" x14ac:dyDescent="0.35">
      <c r="A196" s="2" t="s">
        <v>46</v>
      </c>
      <c r="B196" s="2" t="s">
        <v>47</v>
      </c>
      <c r="C196" s="2" t="s">
        <v>11</v>
      </c>
      <c r="D196" s="2" t="s">
        <v>14</v>
      </c>
      <c r="E196" s="2">
        <v>133</v>
      </c>
      <c r="F196" s="2">
        <v>166</v>
      </c>
      <c r="G196" s="2">
        <v>133</v>
      </c>
      <c r="H196" s="2">
        <v>0</v>
      </c>
      <c r="I196" s="2">
        <v>0</v>
      </c>
      <c r="J196" s="2">
        <f>ABS(F196-E196)</f>
        <v>33</v>
      </c>
      <c r="K196" s="29">
        <f>J196/E196</f>
        <v>0.24812030075187969</v>
      </c>
      <c r="L196" s="2">
        <f>ABS(G196-E196)</f>
        <v>0</v>
      </c>
      <c r="M196" s="50">
        <f>(L196/E196)</f>
        <v>0</v>
      </c>
      <c r="N196" s="2">
        <v>140</v>
      </c>
      <c r="O196" s="11">
        <f t="shared" si="6"/>
        <v>7</v>
      </c>
      <c r="P196" s="29">
        <f t="shared" si="7"/>
        <v>5.2631578947368418E-2</v>
      </c>
    </row>
    <row r="197" spans="1:16" x14ac:dyDescent="0.35">
      <c r="A197" s="2" t="s">
        <v>46</v>
      </c>
      <c r="B197" s="2" t="s">
        <v>47</v>
      </c>
      <c r="C197" s="2" t="s">
        <v>11</v>
      </c>
      <c r="D197" s="2" t="s">
        <v>15</v>
      </c>
      <c r="E197" s="2">
        <v>64</v>
      </c>
      <c r="F197" s="2">
        <v>61</v>
      </c>
      <c r="G197" s="2">
        <v>59</v>
      </c>
      <c r="H197" s="2">
        <v>0</v>
      </c>
      <c r="I197" s="2">
        <v>1</v>
      </c>
      <c r="J197" s="2">
        <f>ABS(F197-E197)</f>
        <v>3</v>
      </c>
      <c r="K197" s="29">
        <f>J197/E197</f>
        <v>4.6875E-2</v>
      </c>
      <c r="L197" s="2">
        <f>ABS(G197-E197)</f>
        <v>5</v>
      </c>
      <c r="M197" s="50">
        <f>(L197/E197)</f>
        <v>7.8125E-2</v>
      </c>
      <c r="N197" s="2">
        <v>57</v>
      </c>
      <c r="O197" s="11">
        <f t="shared" si="6"/>
        <v>7</v>
      </c>
      <c r="P197" s="29">
        <f t="shared" si="7"/>
        <v>0.109375</v>
      </c>
    </row>
    <row r="198" spans="1:16" x14ac:dyDescent="0.35">
      <c r="A198" s="2" t="s">
        <v>46</v>
      </c>
      <c r="B198" s="2" t="s">
        <v>47</v>
      </c>
      <c r="C198" s="2" t="s">
        <v>11</v>
      </c>
      <c r="D198" s="2" t="s">
        <v>16</v>
      </c>
      <c r="E198" s="2">
        <v>154</v>
      </c>
      <c r="F198" s="2">
        <v>188</v>
      </c>
      <c r="G198" s="2">
        <v>147</v>
      </c>
      <c r="H198" s="2">
        <v>0</v>
      </c>
      <c r="I198" s="2">
        <v>0</v>
      </c>
      <c r="J198" s="2">
        <f>ABS(F198-E198)</f>
        <v>34</v>
      </c>
      <c r="K198" s="29">
        <f>J198/E198</f>
        <v>0.22077922077922077</v>
      </c>
      <c r="L198" s="2">
        <f>ABS(G198-E198)</f>
        <v>7</v>
      </c>
      <c r="M198" s="50">
        <f>(L198/E198)</f>
        <v>4.5454545454545456E-2</v>
      </c>
      <c r="N198" s="2">
        <v>163</v>
      </c>
      <c r="O198" s="11">
        <f t="shared" si="6"/>
        <v>9</v>
      </c>
      <c r="P198" s="29">
        <f t="shared" si="7"/>
        <v>5.844155844155844E-2</v>
      </c>
    </row>
    <row r="199" spans="1:16" x14ac:dyDescent="0.35">
      <c r="A199" s="2" t="s">
        <v>46</v>
      </c>
      <c r="B199" s="2" t="s">
        <v>47</v>
      </c>
      <c r="C199" s="2" t="s">
        <v>11</v>
      </c>
      <c r="D199" s="2" t="s">
        <v>17</v>
      </c>
      <c r="E199" s="2">
        <v>129</v>
      </c>
      <c r="F199" s="2">
        <v>143</v>
      </c>
      <c r="G199" s="2">
        <v>135</v>
      </c>
      <c r="H199" s="2">
        <v>0</v>
      </c>
      <c r="I199" s="2">
        <v>0</v>
      </c>
      <c r="J199" s="2">
        <f>ABS(F199-E199)</f>
        <v>14</v>
      </c>
      <c r="K199" s="29">
        <f>J199/E199</f>
        <v>0.10852713178294573</v>
      </c>
      <c r="L199" s="2">
        <f>ABS(G199-E199)</f>
        <v>6</v>
      </c>
      <c r="M199" s="50">
        <f>(L199/E199)</f>
        <v>4.6511627906976744E-2</v>
      </c>
      <c r="N199" s="2">
        <v>131</v>
      </c>
      <c r="O199" s="11">
        <f t="shared" si="6"/>
        <v>2</v>
      </c>
      <c r="P199" s="29">
        <f t="shared" si="7"/>
        <v>1.5503875968992248E-2</v>
      </c>
    </row>
    <row r="200" spans="1:16" x14ac:dyDescent="0.35">
      <c r="A200" s="2" t="s">
        <v>46</v>
      </c>
      <c r="B200" s="2" t="s">
        <v>47</v>
      </c>
      <c r="C200" s="2" t="s">
        <v>11</v>
      </c>
      <c r="D200" s="2" t="s">
        <v>18</v>
      </c>
      <c r="E200" s="2">
        <v>105</v>
      </c>
      <c r="F200" s="2">
        <v>143</v>
      </c>
      <c r="G200" s="2">
        <v>103</v>
      </c>
      <c r="H200" s="2">
        <v>0</v>
      </c>
      <c r="I200" s="2">
        <v>0</v>
      </c>
      <c r="J200" s="2">
        <f>ABS(F200-E200)</f>
        <v>38</v>
      </c>
      <c r="K200" s="29">
        <f>J200/E200</f>
        <v>0.3619047619047619</v>
      </c>
      <c r="L200" s="2">
        <f>ABS(G200-E200)</f>
        <v>2</v>
      </c>
      <c r="M200" s="50">
        <f>(L200/E200)</f>
        <v>1.9047619047619049E-2</v>
      </c>
      <c r="N200" s="2">
        <v>117</v>
      </c>
      <c r="O200" s="11">
        <f t="shared" si="6"/>
        <v>12</v>
      </c>
      <c r="P200" s="29">
        <f t="shared" si="7"/>
        <v>0.11428571428571428</v>
      </c>
    </row>
    <row r="201" spans="1:16" x14ac:dyDescent="0.35">
      <c r="A201" s="2" t="s">
        <v>46</v>
      </c>
      <c r="B201" s="2" t="s">
        <v>47</v>
      </c>
      <c r="C201" s="2" t="s">
        <v>11</v>
      </c>
      <c r="D201" s="2" t="s">
        <v>19</v>
      </c>
      <c r="E201" s="2">
        <v>72</v>
      </c>
      <c r="F201" s="2">
        <v>82</v>
      </c>
      <c r="G201" s="2">
        <v>74</v>
      </c>
      <c r="H201" s="2">
        <v>1</v>
      </c>
      <c r="I201" s="2">
        <v>0</v>
      </c>
      <c r="J201" s="2">
        <f>ABS(F201-E201)</f>
        <v>10</v>
      </c>
      <c r="K201" s="29">
        <f>J201/E201</f>
        <v>0.1388888888888889</v>
      </c>
      <c r="L201" s="2">
        <f>ABS(G201-E201)</f>
        <v>2</v>
      </c>
      <c r="M201" s="50">
        <f>(L201/E201)</f>
        <v>2.7777777777777776E-2</v>
      </c>
      <c r="N201" s="2">
        <v>85</v>
      </c>
      <c r="O201" s="11">
        <f t="shared" si="6"/>
        <v>13</v>
      </c>
      <c r="P201" s="29">
        <f t="shared" si="7"/>
        <v>0.18055555555555555</v>
      </c>
    </row>
    <row r="202" spans="1:16" x14ac:dyDescent="0.35">
      <c r="A202" s="2" t="s">
        <v>46</v>
      </c>
      <c r="B202" s="2" t="s">
        <v>47</v>
      </c>
      <c r="C202" s="2" t="s">
        <v>11</v>
      </c>
      <c r="D202" s="2" t="s">
        <v>20</v>
      </c>
      <c r="E202" s="2">
        <v>108</v>
      </c>
      <c r="F202" s="2">
        <v>119</v>
      </c>
      <c r="G202" s="2">
        <v>105</v>
      </c>
      <c r="H202" s="2">
        <v>1</v>
      </c>
      <c r="I202" s="2">
        <v>0</v>
      </c>
      <c r="J202" s="2">
        <f>ABS(F202-E202)</f>
        <v>11</v>
      </c>
      <c r="K202" s="29">
        <f>J202/E202</f>
        <v>0.10185185185185185</v>
      </c>
      <c r="L202" s="2">
        <f>ABS(G202-E202)</f>
        <v>3</v>
      </c>
      <c r="M202" s="50">
        <f>(L202/E202)</f>
        <v>2.7777777777777776E-2</v>
      </c>
      <c r="N202" s="2">
        <v>108</v>
      </c>
      <c r="O202" s="11">
        <f t="shared" si="6"/>
        <v>0</v>
      </c>
      <c r="P202" s="29">
        <f t="shared" si="7"/>
        <v>0</v>
      </c>
    </row>
    <row r="203" spans="1:16" x14ac:dyDescent="0.35">
      <c r="A203" s="2" t="s">
        <v>46</v>
      </c>
      <c r="B203" s="2" t="s">
        <v>47</v>
      </c>
      <c r="C203" s="2" t="s">
        <v>11</v>
      </c>
      <c r="D203" s="2" t="s">
        <v>21</v>
      </c>
      <c r="E203" s="2">
        <v>52</v>
      </c>
      <c r="F203" s="2">
        <v>59</v>
      </c>
      <c r="G203" s="2">
        <v>50</v>
      </c>
      <c r="H203" s="2">
        <v>0</v>
      </c>
      <c r="I203" s="2">
        <v>1</v>
      </c>
      <c r="J203" s="2">
        <f>ABS(F203-E203)</f>
        <v>7</v>
      </c>
      <c r="K203" s="29">
        <f>J203/E203</f>
        <v>0.13461538461538461</v>
      </c>
      <c r="L203" s="2">
        <f>ABS(G203-E203)</f>
        <v>2</v>
      </c>
      <c r="M203" s="50">
        <f>(L203/E203)</f>
        <v>3.8461538461538464E-2</v>
      </c>
      <c r="N203" s="2">
        <v>54</v>
      </c>
      <c r="O203" s="11">
        <f t="shared" si="6"/>
        <v>2</v>
      </c>
      <c r="P203" s="29">
        <f t="shared" si="7"/>
        <v>3.8461538461538464E-2</v>
      </c>
    </row>
    <row r="204" spans="1:16" x14ac:dyDescent="0.35">
      <c r="A204" s="2" t="s">
        <v>46</v>
      </c>
      <c r="B204" s="2" t="s">
        <v>47</v>
      </c>
      <c r="C204" s="2" t="s">
        <v>11</v>
      </c>
      <c r="D204" s="2" t="s">
        <v>22</v>
      </c>
      <c r="E204" s="2">
        <v>96</v>
      </c>
      <c r="F204" s="2">
        <v>106</v>
      </c>
      <c r="G204" s="2">
        <v>96</v>
      </c>
      <c r="H204" s="2">
        <v>0</v>
      </c>
      <c r="I204" s="2">
        <v>0</v>
      </c>
      <c r="J204" s="2">
        <f>ABS(F204-E204)</f>
        <v>10</v>
      </c>
      <c r="K204" s="29">
        <f>J204/E204</f>
        <v>0.10416666666666667</v>
      </c>
      <c r="L204" s="2">
        <f>ABS(G204-E204)</f>
        <v>0</v>
      </c>
      <c r="M204" s="50">
        <f>(L204/E204)</f>
        <v>0</v>
      </c>
      <c r="N204" s="2">
        <v>97</v>
      </c>
      <c r="O204" s="11">
        <f t="shared" si="6"/>
        <v>1</v>
      </c>
      <c r="P204" s="29">
        <f t="shared" si="7"/>
        <v>1.0416666666666666E-2</v>
      </c>
    </row>
    <row r="205" spans="1:16" x14ac:dyDescent="0.35">
      <c r="A205" s="2" t="s">
        <v>46</v>
      </c>
      <c r="B205" s="2" t="s">
        <v>47</v>
      </c>
      <c r="C205" s="2" t="s">
        <v>11</v>
      </c>
      <c r="D205" s="2" t="s">
        <v>23</v>
      </c>
      <c r="E205" s="2">
        <v>58</v>
      </c>
      <c r="F205" s="2">
        <v>67</v>
      </c>
      <c r="G205" s="2">
        <v>56</v>
      </c>
      <c r="H205" s="2">
        <v>0</v>
      </c>
      <c r="I205" s="2">
        <v>1</v>
      </c>
      <c r="J205" s="2">
        <f>ABS(F205-E205)</f>
        <v>9</v>
      </c>
      <c r="K205" s="29">
        <f>J205/E205</f>
        <v>0.15517241379310345</v>
      </c>
      <c r="L205" s="2">
        <f>ABS(G205-E205)</f>
        <v>2</v>
      </c>
      <c r="M205" s="50">
        <f>(L205/E205)</f>
        <v>3.4482758620689655E-2</v>
      </c>
      <c r="N205" s="2">
        <v>63</v>
      </c>
      <c r="O205" s="11">
        <f t="shared" si="6"/>
        <v>5</v>
      </c>
      <c r="P205" s="29">
        <f t="shared" si="7"/>
        <v>8.6206896551724144E-2</v>
      </c>
    </row>
    <row r="206" spans="1:16" x14ac:dyDescent="0.35">
      <c r="A206" s="2" t="s">
        <v>46</v>
      </c>
      <c r="B206" s="2" t="s">
        <v>47</v>
      </c>
      <c r="C206" s="2" t="s">
        <v>11</v>
      </c>
      <c r="D206" s="2" t="s">
        <v>24</v>
      </c>
      <c r="E206" s="2">
        <v>109</v>
      </c>
      <c r="F206" s="2">
        <v>102</v>
      </c>
      <c r="G206" s="2">
        <v>112</v>
      </c>
      <c r="H206" s="2">
        <v>0</v>
      </c>
      <c r="I206" s="2">
        <v>0</v>
      </c>
      <c r="J206" s="2">
        <f>ABS(F206-E206)</f>
        <v>7</v>
      </c>
      <c r="K206" s="29">
        <f>J206/E206</f>
        <v>6.4220183486238536E-2</v>
      </c>
      <c r="L206" s="2">
        <f>ABS(G206-E206)</f>
        <v>3</v>
      </c>
      <c r="M206" s="50">
        <f>(L206/E206)</f>
        <v>2.7522935779816515E-2</v>
      </c>
      <c r="N206" s="2">
        <v>100</v>
      </c>
      <c r="O206" s="11">
        <f t="shared" si="6"/>
        <v>9</v>
      </c>
      <c r="P206" s="29">
        <f t="shared" si="7"/>
        <v>8.2568807339449546E-2</v>
      </c>
    </row>
    <row r="207" spans="1:16" x14ac:dyDescent="0.35">
      <c r="A207" s="2" t="s">
        <v>46</v>
      </c>
      <c r="B207" s="2" t="s">
        <v>47</v>
      </c>
      <c r="C207" s="2" t="s">
        <v>11</v>
      </c>
      <c r="D207" s="2" t="s">
        <v>25</v>
      </c>
      <c r="E207" s="2">
        <v>74</v>
      </c>
      <c r="F207" s="2">
        <v>86</v>
      </c>
      <c r="G207" s="2">
        <v>77</v>
      </c>
      <c r="H207" s="2">
        <v>0</v>
      </c>
      <c r="I207" s="2">
        <v>1</v>
      </c>
      <c r="J207" s="2">
        <f>ABS(F207-E207)</f>
        <v>12</v>
      </c>
      <c r="K207" s="29">
        <f>J207/E207</f>
        <v>0.16216216216216217</v>
      </c>
      <c r="L207" s="2">
        <f>ABS(G207-E207)</f>
        <v>3</v>
      </c>
      <c r="M207" s="50">
        <f>(L207/E207)</f>
        <v>4.0540540540540543E-2</v>
      </c>
      <c r="N207" s="2">
        <v>77</v>
      </c>
      <c r="O207" s="11">
        <f t="shared" si="6"/>
        <v>3</v>
      </c>
      <c r="P207" s="29">
        <f t="shared" si="7"/>
        <v>4.0540540540540543E-2</v>
      </c>
    </row>
    <row r="208" spans="1:16" x14ac:dyDescent="0.35">
      <c r="A208" s="2" t="s">
        <v>46</v>
      </c>
      <c r="B208" s="2" t="s">
        <v>47</v>
      </c>
      <c r="C208" s="2" t="s">
        <v>11</v>
      </c>
      <c r="D208" s="2" t="s">
        <v>26</v>
      </c>
      <c r="E208" s="2">
        <v>151</v>
      </c>
      <c r="F208" s="2">
        <v>168</v>
      </c>
      <c r="G208" s="2">
        <v>152</v>
      </c>
      <c r="H208" s="2">
        <v>1</v>
      </c>
      <c r="I208" s="2">
        <v>0</v>
      </c>
      <c r="J208" s="2">
        <f>ABS(F208-E208)</f>
        <v>17</v>
      </c>
      <c r="K208" s="29">
        <f>J208/E208</f>
        <v>0.11258278145695365</v>
      </c>
      <c r="L208" s="2">
        <f>ABS(G208-E208)</f>
        <v>1</v>
      </c>
      <c r="M208" s="50">
        <f>(L208/E208)</f>
        <v>6.6225165562913907E-3</v>
      </c>
      <c r="N208" s="2">
        <v>147</v>
      </c>
      <c r="O208" s="11">
        <f t="shared" si="6"/>
        <v>4</v>
      </c>
      <c r="P208" s="29">
        <f t="shared" si="7"/>
        <v>2.6490066225165563E-2</v>
      </c>
    </row>
    <row r="209" spans="1:16" x14ac:dyDescent="0.35">
      <c r="A209" s="2" t="s">
        <v>46</v>
      </c>
      <c r="B209" s="2" t="s">
        <v>47</v>
      </c>
      <c r="C209" s="2" t="s">
        <v>11</v>
      </c>
      <c r="D209" s="2" t="s">
        <v>27</v>
      </c>
      <c r="E209" s="2">
        <v>133</v>
      </c>
      <c r="F209" s="2">
        <v>154</v>
      </c>
      <c r="G209" s="2">
        <v>132</v>
      </c>
      <c r="H209" s="2">
        <v>0</v>
      </c>
      <c r="I209" s="2">
        <v>0</v>
      </c>
      <c r="J209" s="2">
        <f>ABS(F209-E209)</f>
        <v>21</v>
      </c>
      <c r="K209" s="29">
        <f>J209/E209</f>
        <v>0.15789473684210525</v>
      </c>
      <c r="L209" s="2">
        <f>ABS(G209-E209)</f>
        <v>1</v>
      </c>
      <c r="M209" s="50">
        <f>(L209/E209)</f>
        <v>7.5187969924812026E-3</v>
      </c>
      <c r="N209" s="2">
        <v>146</v>
      </c>
      <c r="O209" s="11">
        <f t="shared" si="6"/>
        <v>13</v>
      </c>
      <c r="P209" s="29">
        <f t="shared" si="7"/>
        <v>9.7744360902255634E-2</v>
      </c>
    </row>
    <row r="210" spans="1:16" x14ac:dyDescent="0.35">
      <c r="A210" s="2" t="s">
        <v>46</v>
      </c>
      <c r="B210" s="2" t="s">
        <v>47</v>
      </c>
      <c r="C210" s="2" t="s">
        <v>11</v>
      </c>
      <c r="D210" s="2" t="s">
        <v>28</v>
      </c>
      <c r="E210" s="2">
        <v>147</v>
      </c>
      <c r="F210" s="2">
        <v>192</v>
      </c>
      <c r="G210" s="2">
        <v>150</v>
      </c>
      <c r="H210" s="2">
        <v>0</v>
      </c>
      <c r="I210" s="2">
        <v>0</v>
      </c>
      <c r="J210" s="2">
        <f>ABS(F210-E210)</f>
        <v>45</v>
      </c>
      <c r="K210" s="29">
        <f>J210/E210</f>
        <v>0.30612244897959184</v>
      </c>
      <c r="L210" s="2">
        <f>ABS(G210-E210)</f>
        <v>3</v>
      </c>
      <c r="M210" s="50">
        <f>(L210/E210)</f>
        <v>2.0408163265306121E-2</v>
      </c>
      <c r="N210" s="2">
        <v>158</v>
      </c>
      <c r="O210" s="11">
        <f t="shared" si="6"/>
        <v>11</v>
      </c>
      <c r="P210" s="29">
        <f t="shared" si="7"/>
        <v>7.4829931972789115E-2</v>
      </c>
    </row>
    <row r="211" spans="1:16" x14ac:dyDescent="0.35">
      <c r="A211" s="2" t="s">
        <v>46</v>
      </c>
      <c r="B211" s="2" t="s">
        <v>47</v>
      </c>
      <c r="C211" s="2" t="s">
        <v>11</v>
      </c>
      <c r="D211" s="2" t="s">
        <v>29</v>
      </c>
      <c r="E211" s="2">
        <v>124</v>
      </c>
      <c r="F211" s="2">
        <v>144</v>
      </c>
      <c r="G211" s="2">
        <v>125</v>
      </c>
      <c r="H211" s="2">
        <v>0</v>
      </c>
      <c r="I211" s="2">
        <v>0</v>
      </c>
      <c r="J211" s="2">
        <f>ABS(F211-E211)</f>
        <v>20</v>
      </c>
      <c r="K211" s="29">
        <f>J211/E211</f>
        <v>0.16129032258064516</v>
      </c>
      <c r="L211" s="2">
        <f>ABS(G211-E211)</f>
        <v>1</v>
      </c>
      <c r="M211" s="50">
        <f>(L211/E211)</f>
        <v>8.0645161290322578E-3</v>
      </c>
      <c r="N211" s="2">
        <v>131</v>
      </c>
      <c r="O211" s="11">
        <f t="shared" si="6"/>
        <v>7</v>
      </c>
      <c r="P211" s="29">
        <f t="shared" si="7"/>
        <v>5.6451612903225805E-2</v>
      </c>
    </row>
    <row r="212" spans="1:16" x14ac:dyDescent="0.35">
      <c r="A212" s="2" t="s">
        <v>46</v>
      </c>
      <c r="B212" s="2" t="s">
        <v>47</v>
      </c>
      <c r="C212" s="2" t="s">
        <v>11</v>
      </c>
      <c r="D212" s="2" t="s">
        <v>30</v>
      </c>
      <c r="E212" s="2">
        <v>119</v>
      </c>
      <c r="F212" s="2">
        <v>123</v>
      </c>
      <c r="G212" s="2">
        <v>128</v>
      </c>
      <c r="H212" s="2">
        <v>0</v>
      </c>
      <c r="I212" s="2">
        <v>0</v>
      </c>
      <c r="J212" s="2">
        <f>ABS(F212-E212)</f>
        <v>4</v>
      </c>
      <c r="K212" s="29">
        <f>J212/E212</f>
        <v>3.3613445378151259E-2</v>
      </c>
      <c r="L212" s="2">
        <f>ABS(G212-E212)</f>
        <v>9</v>
      </c>
      <c r="M212" s="50">
        <f>(L212/E212)</f>
        <v>7.5630252100840331E-2</v>
      </c>
      <c r="N212" s="2">
        <v>116</v>
      </c>
      <c r="O212" s="11">
        <f t="shared" si="6"/>
        <v>3</v>
      </c>
      <c r="P212" s="29">
        <f t="shared" si="7"/>
        <v>2.5210084033613446E-2</v>
      </c>
    </row>
    <row r="213" spans="1:16" x14ac:dyDescent="0.35">
      <c r="A213" s="2" t="s">
        <v>46</v>
      </c>
      <c r="B213" s="2" t="s">
        <v>47</v>
      </c>
      <c r="C213" s="2" t="s">
        <v>11</v>
      </c>
      <c r="D213" s="2" t="s">
        <v>31</v>
      </c>
      <c r="E213" s="2">
        <v>116</v>
      </c>
      <c r="F213" s="2">
        <v>128</v>
      </c>
      <c r="G213" s="2">
        <v>110</v>
      </c>
      <c r="H213" s="2">
        <v>1</v>
      </c>
      <c r="I213" s="2">
        <v>0</v>
      </c>
      <c r="J213" s="2">
        <f>ABS(F213-E213)</f>
        <v>12</v>
      </c>
      <c r="K213" s="29">
        <f>J213/E213</f>
        <v>0.10344827586206896</v>
      </c>
      <c r="L213" s="2">
        <f>ABS(G213-E213)</f>
        <v>6</v>
      </c>
      <c r="M213" s="50">
        <f>(L213/E213)</f>
        <v>5.1724137931034482E-2</v>
      </c>
      <c r="N213" s="2">
        <v>119</v>
      </c>
      <c r="O213" s="11">
        <f t="shared" si="6"/>
        <v>3</v>
      </c>
      <c r="P213" s="29">
        <f t="shared" si="7"/>
        <v>2.5862068965517241E-2</v>
      </c>
    </row>
    <row r="214" spans="1:16" x14ac:dyDescent="0.35">
      <c r="A214" s="2" t="s">
        <v>46</v>
      </c>
      <c r="B214" s="2" t="s">
        <v>47</v>
      </c>
      <c r="C214" s="2" t="s">
        <v>11</v>
      </c>
      <c r="D214" s="2" t="s">
        <v>32</v>
      </c>
      <c r="E214" s="2">
        <v>106</v>
      </c>
      <c r="F214" s="2">
        <v>124</v>
      </c>
      <c r="G214" s="2">
        <v>108</v>
      </c>
      <c r="H214" s="2">
        <v>0</v>
      </c>
      <c r="I214" s="2">
        <v>0</v>
      </c>
      <c r="J214" s="2">
        <f>ABS(F214-E214)</f>
        <v>18</v>
      </c>
      <c r="K214" s="29">
        <f>J214/E214</f>
        <v>0.16981132075471697</v>
      </c>
      <c r="L214" s="2">
        <f>ABS(G214-E214)</f>
        <v>2</v>
      </c>
      <c r="M214" s="50">
        <f>(L214/E214)</f>
        <v>1.8867924528301886E-2</v>
      </c>
      <c r="N214" s="2">
        <v>114</v>
      </c>
      <c r="O214" s="11">
        <f t="shared" si="6"/>
        <v>8</v>
      </c>
      <c r="P214" s="29">
        <f t="shared" si="7"/>
        <v>7.5471698113207544E-2</v>
      </c>
    </row>
    <row r="215" spans="1:16" x14ac:dyDescent="0.35">
      <c r="A215" s="2" t="s">
        <v>46</v>
      </c>
      <c r="B215" s="2" t="s">
        <v>47</v>
      </c>
      <c r="C215" s="2" t="s">
        <v>11</v>
      </c>
      <c r="D215" s="2" t="s">
        <v>33</v>
      </c>
      <c r="E215" s="2">
        <v>83</v>
      </c>
      <c r="F215" s="2">
        <v>94</v>
      </c>
      <c r="G215" s="2">
        <v>77</v>
      </c>
      <c r="H215" s="2">
        <v>1</v>
      </c>
      <c r="I215" s="2">
        <v>0</v>
      </c>
      <c r="J215" s="2">
        <f>ABS(F215-E215)</f>
        <v>11</v>
      </c>
      <c r="K215" s="29">
        <f>J215/E215</f>
        <v>0.13253012048192772</v>
      </c>
      <c r="L215" s="2">
        <f>ABS(G215-E215)</f>
        <v>6</v>
      </c>
      <c r="M215" s="50">
        <f>(L215/E215)</f>
        <v>7.2289156626506021E-2</v>
      </c>
      <c r="N215" s="2">
        <v>91</v>
      </c>
      <c r="O215" s="11">
        <f t="shared" si="6"/>
        <v>8</v>
      </c>
      <c r="P215" s="29">
        <f t="shared" si="7"/>
        <v>9.6385542168674704E-2</v>
      </c>
    </row>
    <row r="216" spans="1:16" x14ac:dyDescent="0.35">
      <c r="A216" s="2" t="s">
        <v>46</v>
      </c>
      <c r="B216" s="2" t="s">
        <v>47</v>
      </c>
      <c r="C216" s="2" t="s">
        <v>11</v>
      </c>
      <c r="D216" s="2" t="s">
        <v>34</v>
      </c>
      <c r="E216" s="2">
        <v>55</v>
      </c>
      <c r="F216" s="2">
        <v>58</v>
      </c>
      <c r="G216" s="2">
        <v>55</v>
      </c>
      <c r="H216" s="2">
        <v>0</v>
      </c>
      <c r="I216" s="2">
        <v>1</v>
      </c>
      <c r="J216" s="2">
        <f>ABS(F216-E216)</f>
        <v>3</v>
      </c>
      <c r="K216" s="29">
        <f>J216/E216</f>
        <v>5.4545454545454543E-2</v>
      </c>
      <c r="L216" s="2">
        <f>ABS(G216-E216)</f>
        <v>0</v>
      </c>
      <c r="M216" s="50">
        <f>(L216/E216)</f>
        <v>0</v>
      </c>
      <c r="N216" s="2">
        <v>59</v>
      </c>
      <c r="O216" s="11">
        <f t="shared" si="6"/>
        <v>4</v>
      </c>
      <c r="P216" s="29">
        <f t="shared" si="7"/>
        <v>7.2727272727272724E-2</v>
      </c>
    </row>
    <row r="217" spans="1:16" x14ac:dyDescent="0.35">
      <c r="A217" s="2" t="s">
        <v>46</v>
      </c>
      <c r="B217" s="2" t="s">
        <v>47</v>
      </c>
      <c r="C217" s="2" t="s">
        <v>11</v>
      </c>
      <c r="D217" s="2" t="s">
        <v>35</v>
      </c>
      <c r="E217" s="2">
        <v>124</v>
      </c>
      <c r="F217" s="2">
        <v>148</v>
      </c>
      <c r="G217" s="2">
        <v>116</v>
      </c>
      <c r="H217" s="2">
        <v>0</v>
      </c>
      <c r="I217" s="2">
        <v>0</v>
      </c>
      <c r="J217" s="2">
        <f>ABS(F217-E217)</f>
        <v>24</v>
      </c>
      <c r="K217" s="29">
        <f>J217/E217</f>
        <v>0.19354838709677419</v>
      </c>
      <c r="L217" s="2">
        <f>ABS(G217-E217)</f>
        <v>8</v>
      </c>
      <c r="M217" s="50">
        <f>(L217/E217)</f>
        <v>6.4516129032258063E-2</v>
      </c>
      <c r="N217" s="2">
        <v>138</v>
      </c>
      <c r="O217" s="11">
        <f t="shared" si="6"/>
        <v>14</v>
      </c>
      <c r="P217" s="29">
        <f t="shared" si="7"/>
        <v>0.11290322580645161</v>
      </c>
    </row>
    <row r="218" spans="1:16" x14ac:dyDescent="0.35">
      <c r="A218" s="2" t="s">
        <v>46</v>
      </c>
      <c r="B218" s="2" t="s">
        <v>47</v>
      </c>
      <c r="C218" s="2" t="s">
        <v>36</v>
      </c>
      <c r="D218" s="2" t="s">
        <v>12</v>
      </c>
      <c r="E218" s="2">
        <v>177</v>
      </c>
      <c r="F218" s="2">
        <v>151</v>
      </c>
      <c r="G218" s="2">
        <v>173</v>
      </c>
      <c r="H218" s="2">
        <v>0</v>
      </c>
      <c r="I218" s="2">
        <v>0</v>
      </c>
      <c r="J218" s="2">
        <f>ABS(F218-E218)</f>
        <v>26</v>
      </c>
      <c r="K218" s="29">
        <f>J218/E218</f>
        <v>0.14689265536723164</v>
      </c>
      <c r="L218" s="2">
        <f>ABS(G218-E218)</f>
        <v>4</v>
      </c>
      <c r="M218" s="50">
        <f>(L218/E218)</f>
        <v>2.2598870056497175E-2</v>
      </c>
      <c r="N218" s="2">
        <v>156</v>
      </c>
      <c r="O218" s="11">
        <f t="shared" si="6"/>
        <v>21</v>
      </c>
      <c r="P218" s="29">
        <f t="shared" si="7"/>
        <v>0.11864406779661017</v>
      </c>
    </row>
    <row r="219" spans="1:16" x14ac:dyDescent="0.35">
      <c r="A219" s="2" t="s">
        <v>46</v>
      </c>
      <c r="B219" s="2" t="s">
        <v>47</v>
      </c>
      <c r="C219" s="2" t="s">
        <v>36</v>
      </c>
      <c r="D219" s="2" t="s">
        <v>13</v>
      </c>
      <c r="E219" s="2">
        <v>172</v>
      </c>
      <c r="F219" s="2">
        <v>133</v>
      </c>
      <c r="G219" s="2">
        <v>170</v>
      </c>
      <c r="H219" s="2">
        <v>0</v>
      </c>
      <c r="I219" s="2">
        <v>0</v>
      </c>
      <c r="J219" s="2">
        <f>ABS(F219-E219)</f>
        <v>39</v>
      </c>
      <c r="K219" s="29">
        <f>J219/E219</f>
        <v>0.22674418604651161</v>
      </c>
      <c r="L219" s="2">
        <f>ABS(G219-E219)</f>
        <v>2</v>
      </c>
      <c r="M219" s="50">
        <f>(L219/E219)</f>
        <v>1.1627906976744186E-2</v>
      </c>
      <c r="N219" s="2">
        <v>161</v>
      </c>
      <c r="O219" s="11">
        <f t="shared" si="6"/>
        <v>11</v>
      </c>
      <c r="P219" s="29">
        <f t="shared" si="7"/>
        <v>6.3953488372093026E-2</v>
      </c>
    </row>
    <row r="220" spans="1:16" x14ac:dyDescent="0.35">
      <c r="A220" s="2" t="s">
        <v>46</v>
      </c>
      <c r="B220" s="2" t="s">
        <v>47</v>
      </c>
      <c r="C220" s="2" t="s">
        <v>36</v>
      </c>
      <c r="D220" s="2" t="s">
        <v>14</v>
      </c>
      <c r="E220" s="2">
        <v>174</v>
      </c>
      <c r="F220" s="2">
        <v>150</v>
      </c>
      <c r="G220" s="2">
        <v>163</v>
      </c>
      <c r="H220" s="2">
        <v>0</v>
      </c>
      <c r="I220" s="2">
        <v>0</v>
      </c>
      <c r="J220" s="2">
        <f>ABS(F220-E220)</f>
        <v>24</v>
      </c>
      <c r="K220" s="29">
        <f>J220/E220</f>
        <v>0.13793103448275862</v>
      </c>
      <c r="L220" s="2">
        <f>ABS(G220-E220)</f>
        <v>11</v>
      </c>
      <c r="M220" s="50">
        <f>(L220/E220)</f>
        <v>6.3218390804597707E-2</v>
      </c>
      <c r="N220" s="2">
        <v>174</v>
      </c>
      <c r="O220" s="11">
        <f t="shared" si="6"/>
        <v>0</v>
      </c>
      <c r="P220" s="29">
        <f t="shared" si="7"/>
        <v>0</v>
      </c>
    </row>
    <row r="221" spans="1:16" x14ac:dyDescent="0.35">
      <c r="A221" s="2" t="s">
        <v>46</v>
      </c>
      <c r="B221" s="2" t="s">
        <v>47</v>
      </c>
      <c r="C221" s="2" t="s">
        <v>36</v>
      </c>
      <c r="D221" s="2" t="s">
        <v>15</v>
      </c>
      <c r="E221" s="2">
        <v>166</v>
      </c>
      <c r="F221" s="2">
        <v>146</v>
      </c>
      <c r="G221" s="2">
        <v>165</v>
      </c>
      <c r="H221" s="2">
        <v>0</v>
      </c>
      <c r="I221" s="2">
        <v>0</v>
      </c>
      <c r="J221" s="2">
        <f>ABS(F221-E221)</f>
        <v>20</v>
      </c>
      <c r="K221" s="29">
        <f>J221/E221</f>
        <v>0.12048192771084337</v>
      </c>
      <c r="L221" s="2">
        <f>ABS(G221-E221)</f>
        <v>1</v>
      </c>
      <c r="M221" s="50">
        <f>(L221/E221)</f>
        <v>6.024096385542169E-3</v>
      </c>
      <c r="N221" s="2">
        <v>168</v>
      </c>
      <c r="O221" s="11">
        <f t="shared" si="6"/>
        <v>2</v>
      </c>
      <c r="P221" s="29">
        <f t="shared" si="7"/>
        <v>1.2048192771084338E-2</v>
      </c>
    </row>
    <row r="222" spans="1:16" x14ac:dyDescent="0.35">
      <c r="A222" s="2" t="s">
        <v>46</v>
      </c>
      <c r="B222" s="2" t="s">
        <v>47</v>
      </c>
      <c r="C222" s="2" t="s">
        <v>36</v>
      </c>
      <c r="D222" s="2" t="s">
        <v>16</v>
      </c>
      <c r="E222" s="2">
        <v>137</v>
      </c>
      <c r="F222" s="2">
        <v>101</v>
      </c>
      <c r="G222" s="2">
        <v>140</v>
      </c>
      <c r="H222" s="2">
        <v>0</v>
      </c>
      <c r="I222" s="2">
        <v>0</v>
      </c>
      <c r="J222" s="2">
        <f>ABS(F222-E222)</f>
        <v>36</v>
      </c>
      <c r="K222" s="29">
        <f>J222/E222</f>
        <v>0.26277372262773724</v>
      </c>
      <c r="L222" s="2">
        <f>ABS(G222-E222)</f>
        <v>3</v>
      </c>
      <c r="M222" s="50">
        <f>(L222/E222)</f>
        <v>2.1897810218978103E-2</v>
      </c>
      <c r="N222" s="2">
        <v>124</v>
      </c>
      <c r="O222" s="11">
        <f t="shared" si="6"/>
        <v>13</v>
      </c>
      <c r="P222" s="29">
        <f t="shared" si="7"/>
        <v>9.4890510948905105E-2</v>
      </c>
    </row>
    <row r="223" spans="1:16" x14ac:dyDescent="0.35">
      <c r="A223" s="2" t="s">
        <v>46</v>
      </c>
      <c r="B223" s="2" t="s">
        <v>47</v>
      </c>
      <c r="C223" s="2" t="s">
        <v>36</v>
      </c>
      <c r="D223" s="2" t="s">
        <v>17</v>
      </c>
      <c r="E223" s="2">
        <v>165</v>
      </c>
      <c r="F223" s="2">
        <v>153</v>
      </c>
      <c r="G223" s="2">
        <v>171</v>
      </c>
      <c r="H223" s="2">
        <v>0</v>
      </c>
      <c r="I223" s="2">
        <v>0</v>
      </c>
      <c r="J223" s="2">
        <f>ABS(F223-E223)</f>
        <v>12</v>
      </c>
      <c r="K223" s="29">
        <f>J223/E223</f>
        <v>7.2727272727272724E-2</v>
      </c>
      <c r="L223" s="2">
        <f>ABS(G223-E223)</f>
        <v>6</v>
      </c>
      <c r="M223" s="50">
        <f>(L223/E223)</f>
        <v>3.6363636363636362E-2</v>
      </c>
      <c r="N223" s="2">
        <v>157</v>
      </c>
      <c r="O223" s="11">
        <f t="shared" si="6"/>
        <v>8</v>
      </c>
      <c r="P223" s="29">
        <f t="shared" si="7"/>
        <v>4.8484848484848485E-2</v>
      </c>
    </row>
    <row r="224" spans="1:16" x14ac:dyDescent="0.35">
      <c r="A224" s="2" t="s">
        <v>46</v>
      </c>
      <c r="B224" s="2" t="s">
        <v>47</v>
      </c>
      <c r="C224" s="2" t="s">
        <v>36</v>
      </c>
      <c r="D224" s="2" t="s">
        <v>18</v>
      </c>
      <c r="E224" s="2">
        <v>112</v>
      </c>
      <c r="F224" s="2">
        <v>103</v>
      </c>
      <c r="G224" s="2">
        <v>121</v>
      </c>
      <c r="H224" s="2">
        <v>0</v>
      </c>
      <c r="I224" s="2">
        <v>0</v>
      </c>
      <c r="J224" s="2">
        <f>ABS(F224-E224)</f>
        <v>9</v>
      </c>
      <c r="K224" s="29">
        <f>J224/E224</f>
        <v>8.0357142857142863E-2</v>
      </c>
      <c r="L224" s="2">
        <f>ABS(G224-E224)</f>
        <v>9</v>
      </c>
      <c r="M224" s="50">
        <f>(L224/E224)</f>
        <v>8.0357142857142863E-2</v>
      </c>
      <c r="N224" s="2">
        <v>115</v>
      </c>
      <c r="O224" s="11">
        <f t="shared" si="6"/>
        <v>3</v>
      </c>
      <c r="P224" s="29">
        <f t="shared" si="7"/>
        <v>2.6785714285714284E-2</v>
      </c>
    </row>
    <row r="225" spans="1:16" x14ac:dyDescent="0.35">
      <c r="A225" s="2" t="s">
        <v>46</v>
      </c>
      <c r="B225" s="2" t="s">
        <v>47</v>
      </c>
      <c r="C225" s="2" t="s">
        <v>36</v>
      </c>
      <c r="D225" s="2" t="s">
        <v>19</v>
      </c>
      <c r="E225" s="2">
        <v>116</v>
      </c>
      <c r="F225" s="2">
        <v>107</v>
      </c>
      <c r="G225" s="2">
        <v>122</v>
      </c>
      <c r="H225" s="2">
        <v>0</v>
      </c>
      <c r="I225" s="2">
        <v>0</v>
      </c>
      <c r="J225" s="2">
        <f>ABS(F225-E225)</f>
        <v>9</v>
      </c>
      <c r="K225" s="29">
        <f>J225/E225</f>
        <v>7.7586206896551727E-2</v>
      </c>
      <c r="L225" s="2">
        <f>ABS(G225-E225)</f>
        <v>6</v>
      </c>
      <c r="M225" s="50">
        <f>(L225/E225)</f>
        <v>5.1724137931034482E-2</v>
      </c>
      <c r="N225" s="2">
        <v>116</v>
      </c>
      <c r="O225" s="11">
        <f t="shared" si="6"/>
        <v>0</v>
      </c>
      <c r="P225" s="29">
        <f t="shared" si="7"/>
        <v>0</v>
      </c>
    </row>
    <row r="226" spans="1:16" x14ac:dyDescent="0.35">
      <c r="A226" s="2" t="s">
        <v>46</v>
      </c>
      <c r="B226" s="2" t="s">
        <v>47</v>
      </c>
      <c r="C226" s="2" t="s">
        <v>36</v>
      </c>
      <c r="D226" s="2" t="s">
        <v>20</v>
      </c>
      <c r="E226" s="2">
        <v>107</v>
      </c>
      <c r="F226" s="2">
        <v>82</v>
      </c>
      <c r="G226" s="2">
        <v>104</v>
      </c>
      <c r="H226" s="2">
        <v>1</v>
      </c>
      <c r="I226" s="2">
        <v>0</v>
      </c>
      <c r="J226" s="2">
        <f>ABS(F226-E226)</f>
        <v>25</v>
      </c>
      <c r="K226" s="29">
        <f>J226/E226</f>
        <v>0.23364485981308411</v>
      </c>
      <c r="L226" s="2">
        <f>ABS(G226-E226)</f>
        <v>3</v>
      </c>
      <c r="M226" s="50">
        <f>(L226/E226)</f>
        <v>2.8037383177570093E-2</v>
      </c>
      <c r="N226" s="2">
        <v>93</v>
      </c>
      <c r="O226" s="11">
        <f t="shared" si="6"/>
        <v>14</v>
      </c>
      <c r="P226" s="29">
        <f t="shared" si="7"/>
        <v>0.13084112149532709</v>
      </c>
    </row>
    <row r="227" spans="1:16" x14ac:dyDescent="0.35">
      <c r="A227" s="2" t="s">
        <v>46</v>
      </c>
      <c r="B227" s="2" t="s">
        <v>47</v>
      </c>
      <c r="C227" s="2" t="s">
        <v>36</v>
      </c>
      <c r="D227" s="2" t="s">
        <v>21</v>
      </c>
      <c r="E227" s="2">
        <v>60</v>
      </c>
      <c r="F227" s="2">
        <v>59</v>
      </c>
      <c r="G227" s="2">
        <v>56</v>
      </c>
      <c r="H227" s="2">
        <v>0</v>
      </c>
      <c r="I227" s="2">
        <v>1</v>
      </c>
      <c r="J227" s="2">
        <f>ABS(F227-E227)</f>
        <v>1</v>
      </c>
      <c r="K227" s="29">
        <f>J227/E227</f>
        <v>1.6666666666666666E-2</v>
      </c>
      <c r="L227" s="2">
        <f>ABS(G227-E227)</f>
        <v>4</v>
      </c>
      <c r="M227" s="50">
        <f>(L227/E227)</f>
        <v>6.6666666666666666E-2</v>
      </c>
      <c r="N227" s="2">
        <v>58</v>
      </c>
      <c r="O227" s="11">
        <f t="shared" si="6"/>
        <v>2</v>
      </c>
      <c r="P227" s="29">
        <f t="shared" si="7"/>
        <v>3.3333333333333333E-2</v>
      </c>
    </row>
    <row r="228" spans="1:16" x14ac:dyDescent="0.35">
      <c r="A228" s="2" t="s">
        <v>46</v>
      </c>
      <c r="B228" s="2" t="s">
        <v>47</v>
      </c>
      <c r="C228" s="2" t="s">
        <v>36</v>
      </c>
      <c r="D228" s="2" t="s">
        <v>22</v>
      </c>
      <c r="E228" s="2">
        <v>112</v>
      </c>
      <c r="F228" s="2">
        <v>116</v>
      </c>
      <c r="G228" s="2">
        <v>100</v>
      </c>
      <c r="H228" s="2">
        <v>0</v>
      </c>
      <c r="I228" s="2">
        <v>0</v>
      </c>
      <c r="J228" s="2">
        <f>ABS(F228-E228)</f>
        <v>4</v>
      </c>
      <c r="K228" s="29">
        <f>J228/E228</f>
        <v>3.5714285714285712E-2</v>
      </c>
      <c r="L228" s="2">
        <f>ABS(G228-E228)</f>
        <v>12</v>
      </c>
      <c r="M228" s="50">
        <f>(L228/E228)</f>
        <v>0.10714285714285714</v>
      </c>
      <c r="N228" s="2">
        <v>115</v>
      </c>
      <c r="O228" s="11">
        <f t="shared" si="6"/>
        <v>3</v>
      </c>
      <c r="P228" s="29">
        <f t="shared" si="7"/>
        <v>2.6785714285714284E-2</v>
      </c>
    </row>
    <row r="229" spans="1:16" x14ac:dyDescent="0.35">
      <c r="A229" s="2" t="s">
        <v>46</v>
      </c>
      <c r="B229" s="2" t="s">
        <v>47</v>
      </c>
      <c r="C229" s="2" t="s">
        <v>36</v>
      </c>
      <c r="D229" s="2" t="s">
        <v>23</v>
      </c>
      <c r="E229" s="2">
        <v>154</v>
      </c>
      <c r="F229" s="2">
        <v>129</v>
      </c>
      <c r="G229" s="2">
        <v>156</v>
      </c>
      <c r="H229" s="2">
        <v>0</v>
      </c>
      <c r="I229" s="2">
        <v>0</v>
      </c>
      <c r="J229" s="2">
        <f>ABS(F229-E229)</f>
        <v>25</v>
      </c>
      <c r="K229" s="29">
        <f>J229/E229</f>
        <v>0.16233766233766234</v>
      </c>
      <c r="L229" s="2">
        <f>ABS(G229-E229)</f>
        <v>2</v>
      </c>
      <c r="M229" s="50">
        <f>(L229/E229)</f>
        <v>1.2987012987012988E-2</v>
      </c>
      <c r="N229" s="2">
        <v>134</v>
      </c>
      <c r="O229" s="11">
        <f t="shared" si="6"/>
        <v>20</v>
      </c>
      <c r="P229" s="29">
        <f t="shared" si="7"/>
        <v>0.12987012987012986</v>
      </c>
    </row>
    <row r="230" spans="1:16" x14ac:dyDescent="0.35">
      <c r="A230" s="2" t="s">
        <v>46</v>
      </c>
      <c r="B230" s="2" t="s">
        <v>47</v>
      </c>
      <c r="C230" s="2" t="s">
        <v>36</v>
      </c>
      <c r="D230" s="2" t="s">
        <v>24</v>
      </c>
      <c r="E230" s="2">
        <v>163</v>
      </c>
      <c r="F230" s="2">
        <v>151</v>
      </c>
      <c r="G230" s="2">
        <v>166</v>
      </c>
      <c r="H230" s="2">
        <v>0</v>
      </c>
      <c r="I230" s="2">
        <v>0</v>
      </c>
      <c r="J230" s="2">
        <f>ABS(F230-E230)</f>
        <v>12</v>
      </c>
      <c r="K230" s="29">
        <f>J230/E230</f>
        <v>7.3619631901840496E-2</v>
      </c>
      <c r="L230" s="2">
        <f>ABS(G230-E230)</f>
        <v>3</v>
      </c>
      <c r="M230" s="50">
        <f>(L230/E230)</f>
        <v>1.8404907975460124E-2</v>
      </c>
      <c r="N230" s="2">
        <v>159</v>
      </c>
      <c r="O230" s="11">
        <f t="shared" si="6"/>
        <v>4</v>
      </c>
      <c r="P230" s="29">
        <f t="shared" si="7"/>
        <v>2.4539877300613498E-2</v>
      </c>
    </row>
    <row r="231" spans="1:16" x14ac:dyDescent="0.35">
      <c r="A231" s="2" t="s">
        <v>46</v>
      </c>
      <c r="B231" s="2" t="s">
        <v>47</v>
      </c>
      <c r="C231" s="2" t="s">
        <v>36</v>
      </c>
      <c r="D231" s="2" t="s">
        <v>25</v>
      </c>
      <c r="E231" s="2">
        <v>163</v>
      </c>
      <c r="F231" s="2">
        <v>152</v>
      </c>
      <c r="G231" s="2">
        <v>154</v>
      </c>
      <c r="H231" s="2">
        <v>1</v>
      </c>
      <c r="I231" s="2">
        <v>0</v>
      </c>
      <c r="J231" s="2">
        <f>ABS(F231-E231)</f>
        <v>11</v>
      </c>
      <c r="K231" s="29">
        <f>J231/E231</f>
        <v>6.7484662576687116E-2</v>
      </c>
      <c r="L231" s="2">
        <f>ABS(G231-E231)</f>
        <v>9</v>
      </c>
      <c r="M231" s="50">
        <f>(L231/E231)</f>
        <v>5.5214723926380369E-2</v>
      </c>
      <c r="N231" s="2">
        <v>165</v>
      </c>
      <c r="O231" s="11">
        <f t="shared" si="6"/>
        <v>2</v>
      </c>
      <c r="P231" s="29">
        <f t="shared" si="7"/>
        <v>1.2269938650306749E-2</v>
      </c>
    </row>
    <row r="232" spans="1:16" x14ac:dyDescent="0.35">
      <c r="A232" s="2" t="s">
        <v>46</v>
      </c>
      <c r="B232" s="2" t="s">
        <v>47</v>
      </c>
      <c r="C232" s="2" t="s">
        <v>36</v>
      </c>
      <c r="D232" s="2" t="s">
        <v>26</v>
      </c>
      <c r="E232" s="2">
        <v>172</v>
      </c>
      <c r="F232" s="2">
        <v>152</v>
      </c>
      <c r="G232" s="2">
        <v>175</v>
      </c>
      <c r="H232" s="2">
        <v>1</v>
      </c>
      <c r="I232" s="2">
        <v>0</v>
      </c>
      <c r="J232" s="2">
        <f>ABS(F232-E232)</f>
        <v>20</v>
      </c>
      <c r="K232" s="29">
        <f>J232/E232</f>
        <v>0.11627906976744186</v>
      </c>
      <c r="L232" s="2">
        <f>ABS(G232-E232)</f>
        <v>3</v>
      </c>
      <c r="M232" s="50">
        <f>(L232/E232)</f>
        <v>1.7441860465116279E-2</v>
      </c>
      <c r="N232" s="2">
        <v>173</v>
      </c>
      <c r="O232" s="11">
        <f t="shared" si="6"/>
        <v>1</v>
      </c>
      <c r="P232" s="29">
        <f t="shared" si="7"/>
        <v>5.8139534883720929E-3</v>
      </c>
    </row>
    <row r="233" spans="1:16" x14ac:dyDescent="0.35">
      <c r="A233" s="2" t="s">
        <v>46</v>
      </c>
      <c r="B233" s="2" t="s">
        <v>47</v>
      </c>
      <c r="C233" s="2" t="s">
        <v>36</v>
      </c>
      <c r="D233" s="2" t="s">
        <v>27</v>
      </c>
      <c r="E233" s="2">
        <v>174</v>
      </c>
      <c r="F233" s="2">
        <v>156</v>
      </c>
      <c r="G233" s="2">
        <v>168</v>
      </c>
      <c r="H233" s="2">
        <v>0</v>
      </c>
      <c r="I233" s="2">
        <v>0</v>
      </c>
      <c r="J233" s="2">
        <f>ABS(F233-E233)</f>
        <v>18</v>
      </c>
      <c r="K233" s="29">
        <f>J233/E233</f>
        <v>0.10344827586206896</v>
      </c>
      <c r="L233" s="2">
        <f>ABS(G233-E233)</f>
        <v>6</v>
      </c>
      <c r="M233" s="50">
        <f>(L233/E233)</f>
        <v>3.4482758620689655E-2</v>
      </c>
      <c r="N233" s="2">
        <v>173</v>
      </c>
      <c r="O233" s="11">
        <f t="shared" si="6"/>
        <v>1</v>
      </c>
      <c r="P233" s="29">
        <f t="shared" si="7"/>
        <v>5.7471264367816091E-3</v>
      </c>
    </row>
    <row r="234" spans="1:16" x14ac:dyDescent="0.35">
      <c r="A234" s="2" t="s">
        <v>46</v>
      </c>
      <c r="B234" s="2" t="s">
        <v>47</v>
      </c>
      <c r="C234" s="2" t="s">
        <v>36</v>
      </c>
      <c r="D234" s="2" t="s">
        <v>28</v>
      </c>
      <c r="E234" s="2">
        <v>160</v>
      </c>
      <c r="F234" s="2">
        <v>161</v>
      </c>
      <c r="G234" s="2">
        <v>170</v>
      </c>
      <c r="H234" s="2">
        <v>1</v>
      </c>
      <c r="I234" s="2">
        <v>0</v>
      </c>
      <c r="J234" s="2">
        <f>ABS(F234-E234)</f>
        <v>1</v>
      </c>
      <c r="K234" s="29">
        <f>J234/E234</f>
        <v>6.2500000000000003E-3</v>
      </c>
      <c r="L234" s="2">
        <f>ABS(G234-E234)</f>
        <v>10</v>
      </c>
      <c r="M234" s="50">
        <f>(L234/E234)</f>
        <v>6.25E-2</v>
      </c>
      <c r="N234" s="2">
        <v>169</v>
      </c>
      <c r="O234" s="11">
        <f t="shared" si="6"/>
        <v>9</v>
      </c>
      <c r="P234" s="29">
        <f t="shared" si="7"/>
        <v>5.6250000000000001E-2</v>
      </c>
    </row>
    <row r="235" spans="1:16" x14ac:dyDescent="0.35">
      <c r="A235" s="2" t="s">
        <v>46</v>
      </c>
      <c r="B235" s="2" t="s">
        <v>47</v>
      </c>
      <c r="C235" s="2" t="s">
        <v>36</v>
      </c>
      <c r="D235" s="2" t="s">
        <v>29</v>
      </c>
      <c r="E235" s="2">
        <v>151</v>
      </c>
      <c r="F235" s="2">
        <v>135</v>
      </c>
      <c r="G235" s="2">
        <v>149</v>
      </c>
      <c r="H235" s="2">
        <v>0</v>
      </c>
      <c r="I235" s="2">
        <v>0</v>
      </c>
      <c r="J235" s="2">
        <f>ABS(F235-E235)</f>
        <v>16</v>
      </c>
      <c r="K235" s="29">
        <f>J235/E235</f>
        <v>0.10596026490066225</v>
      </c>
      <c r="L235" s="2">
        <f>ABS(G235-E235)</f>
        <v>2</v>
      </c>
      <c r="M235" s="50">
        <f>(L235/E235)</f>
        <v>1.3245033112582781E-2</v>
      </c>
      <c r="N235" s="2">
        <v>151</v>
      </c>
      <c r="O235" s="11">
        <f t="shared" si="6"/>
        <v>0</v>
      </c>
      <c r="P235" s="29">
        <f t="shared" si="7"/>
        <v>0</v>
      </c>
    </row>
    <row r="236" spans="1:16" x14ac:dyDescent="0.35">
      <c r="A236" s="2" t="s">
        <v>46</v>
      </c>
      <c r="B236" s="2" t="s">
        <v>47</v>
      </c>
      <c r="C236" s="2" t="s">
        <v>36</v>
      </c>
      <c r="D236" s="2" t="s">
        <v>30</v>
      </c>
      <c r="E236" s="2">
        <v>59</v>
      </c>
      <c r="F236" s="2">
        <v>52</v>
      </c>
      <c r="G236" s="2">
        <v>58</v>
      </c>
      <c r="H236" s="2">
        <v>0</v>
      </c>
      <c r="I236" s="2">
        <v>1</v>
      </c>
      <c r="J236" s="2">
        <f>ABS(F236-E236)</f>
        <v>7</v>
      </c>
      <c r="K236" s="29">
        <f>J236/E236</f>
        <v>0.11864406779661017</v>
      </c>
      <c r="L236" s="2">
        <f>ABS(G236-E236)</f>
        <v>1</v>
      </c>
      <c r="M236" s="50">
        <f>(L236/E236)</f>
        <v>1.6949152542372881E-2</v>
      </c>
      <c r="N236" s="2">
        <v>53</v>
      </c>
      <c r="O236" s="11">
        <f t="shared" si="6"/>
        <v>6</v>
      </c>
      <c r="P236" s="29">
        <f t="shared" si="7"/>
        <v>0.10169491525423729</v>
      </c>
    </row>
    <row r="237" spans="1:16" x14ac:dyDescent="0.35">
      <c r="A237" s="2" t="s">
        <v>46</v>
      </c>
      <c r="B237" s="2" t="s">
        <v>47</v>
      </c>
      <c r="C237" s="2" t="s">
        <v>36</v>
      </c>
      <c r="D237" s="2" t="s">
        <v>31</v>
      </c>
      <c r="E237" s="2">
        <v>127</v>
      </c>
      <c r="F237" s="2">
        <v>122</v>
      </c>
      <c r="G237" s="2">
        <v>119</v>
      </c>
      <c r="H237" s="2">
        <v>0</v>
      </c>
      <c r="I237" s="2">
        <v>0</v>
      </c>
      <c r="J237" s="2">
        <f>ABS(F237-E237)</f>
        <v>5</v>
      </c>
      <c r="K237" s="29">
        <f>J237/E237</f>
        <v>3.937007874015748E-2</v>
      </c>
      <c r="L237" s="2">
        <f>ABS(G237-E237)</f>
        <v>8</v>
      </c>
      <c r="M237" s="50">
        <f>(L237/E237)</f>
        <v>6.2992125984251968E-2</v>
      </c>
      <c r="N237" s="2">
        <v>128</v>
      </c>
      <c r="O237" s="11">
        <f t="shared" si="6"/>
        <v>1</v>
      </c>
      <c r="P237" s="29">
        <f t="shared" si="7"/>
        <v>7.874015748031496E-3</v>
      </c>
    </row>
    <row r="238" spans="1:16" x14ac:dyDescent="0.35">
      <c r="A238" s="2" t="s">
        <v>46</v>
      </c>
      <c r="B238" s="2" t="s">
        <v>47</v>
      </c>
      <c r="C238" s="2" t="s">
        <v>36</v>
      </c>
      <c r="D238" s="2" t="s">
        <v>32</v>
      </c>
      <c r="E238" s="2">
        <v>126</v>
      </c>
      <c r="F238" s="2">
        <v>117</v>
      </c>
      <c r="G238" s="2">
        <v>122</v>
      </c>
      <c r="H238" s="2">
        <v>0</v>
      </c>
      <c r="I238" s="2">
        <v>0</v>
      </c>
      <c r="J238" s="2">
        <f>ABS(F238-E238)</f>
        <v>9</v>
      </c>
      <c r="K238" s="29">
        <f>J238/E238</f>
        <v>7.1428571428571425E-2</v>
      </c>
      <c r="L238" s="2">
        <f>ABS(G238-E238)</f>
        <v>4</v>
      </c>
      <c r="M238" s="50">
        <f>(L238/E238)</f>
        <v>3.1746031746031744E-2</v>
      </c>
      <c r="N238" s="2">
        <v>124</v>
      </c>
      <c r="O238" s="11">
        <f t="shared" si="6"/>
        <v>2</v>
      </c>
      <c r="P238" s="29">
        <f t="shared" si="7"/>
        <v>1.5873015873015872E-2</v>
      </c>
    </row>
    <row r="239" spans="1:16" x14ac:dyDescent="0.35">
      <c r="A239" s="2" t="s">
        <v>46</v>
      </c>
      <c r="B239" s="2" t="s">
        <v>47</v>
      </c>
      <c r="C239" s="2" t="s">
        <v>36</v>
      </c>
      <c r="D239" s="2" t="s">
        <v>33</v>
      </c>
      <c r="E239" s="2">
        <v>104</v>
      </c>
      <c r="F239" s="2">
        <v>101</v>
      </c>
      <c r="G239" s="2">
        <v>108</v>
      </c>
      <c r="H239" s="2">
        <v>0</v>
      </c>
      <c r="I239" s="2">
        <v>0</v>
      </c>
      <c r="J239" s="2">
        <f>ABS(F239-E239)</f>
        <v>3</v>
      </c>
      <c r="K239" s="29">
        <f>J239/E239</f>
        <v>2.8846153846153848E-2</v>
      </c>
      <c r="L239" s="2">
        <f>ABS(G239-E239)</f>
        <v>4</v>
      </c>
      <c r="M239" s="50">
        <f>(L239/E239)</f>
        <v>3.8461538461538464E-2</v>
      </c>
      <c r="N239" s="2">
        <v>107</v>
      </c>
      <c r="O239" s="11">
        <f t="shared" si="6"/>
        <v>3</v>
      </c>
      <c r="P239" s="29">
        <f t="shared" si="7"/>
        <v>2.8846153846153848E-2</v>
      </c>
    </row>
    <row r="240" spans="1:16" x14ac:dyDescent="0.35">
      <c r="A240" s="2" t="s">
        <v>46</v>
      </c>
      <c r="B240" s="2" t="s">
        <v>47</v>
      </c>
      <c r="C240" s="2" t="s">
        <v>36</v>
      </c>
      <c r="D240" s="2" t="s">
        <v>34</v>
      </c>
      <c r="E240" s="2">
        <v>128</v>
      </c>
      <c r="F240" s="2">
        <v>117</v>
      </c>
      <c r="G240" s="2">
        <v>135</v>
      </c>
      <c r="H240" s="2">
        <v>0</v>
      </c>
      <c r="I240" s="2">
        <v>0</v>
      </c>
      <c r="J240" s="2">
        <f>ABS(F240-E240)</f>
        <v>11</v>
      </c>
      <c r="K240" s="29">
        <f>J240/E240</f>
        <v>8.59375E-2</v>
      </c>
      <c r="L240" s="2">
        <f>ABS(G240-E240)</f>
        <v>7</v>
      </c>
      <c r="M240" s="50">
        <f>(L240/E240)</f>
        <v>5.46875E-2</v>
      </c>
      <c r="N240" s="2">
        <v>131</v>
      </c>
      <c r="O240" s="11">
        <f t="shared" si="6"/>
        <v>3</v>
      </c>
      <c r="P240" s="29">
        <f t="shared" si="7"/>
        <v>2.34375E-2</v>
      </c>
    </row>
    <row r="241" spans="1:16" x14ac:dyDescent="0.35">
      <c r="A241" s="2" t="s">
        <v>46</v>
      </c>
      <c r="B241" s="2" t="s">
        <v>47</v>
      </c>
      <c r="C241" s="2" t="s">
        <v>36</v>
      </c>
      <c r="D241" s="2" t="s">
        <v>35</v>
      </c>
      <c r="E241" s="2">
        <v>138</v>
      </c>
      <c r="F241" s="2">
        <v>112</v>
      </c>
      <c r="G241" s="2">
        <v>135</v>
      </c>
      <c r="H241" s="2">
        <v>0</v>
      </c>
      <c r="I241" s="2">
        <v>0</v>
      </c>
      <c r="J241" s="2">
        <f>ABS(F241-E241)</f>
        <v>26</v>
      </c>
      <c r="K241" s="29">
        <f>J241/E241</f>
        <v>0.18840579710144928</v>
      </c>
      <c r="L241" s="2">
        <f>ABS(G241-E241)</f>
        <v>3</v>
      </c>
      <c r="M241" s="50">
        <f>(L241/E241)</f>
        <v>2.1739130434782608E-2</v>
      </c>
      <c r="N241" s="2">
        <v>131</v>
      </c>
      <c r="O241" s="11">
        <f t="shared" si="6"/>
        <v>7</v>
      </c>
      <c r="P241" s="29">
        <f t="shared" si="7"/>
        <v>5.0724637681159424E-2</v>
      </c>
    </row>
    <row r="242" spans="1:16" x14ac:dyDescent="0.35">
      <c r="A242" s="2" t="s">
        <v>46</v>
      </c>
      <c r="B242" s="2" t="s">
        <v>47</v>
      </c>
      <c r="C242" s="2" t="s">
        <v>37</v>
      </c>
      <c r="D242" s="2" t="s">
        <v>12</v>
      </c>
      <c r="E242" s="2">
        <v>38</v>
      </c>
      <c r="F242" s="2">
        <v>45</v>
      </c>
      <c r="G242" s="2">
        <v>41</v>
      </c>
      <c r="H242" s="2">
        <v>1</v>
      </c>
      <c r="I242" s="2">
        <v>1</v>
      </c>
      <c r="J242" s="2">
        <f>ABS(F242-E242)</f>
        <v>7</v>
      </c>
      <c r="K242" s="29">
        <f>J242/E242</f>
        <v>0.18421052631578946</v>
      </c>
      <c r="L242" s="2">
        <f>ABS(G242-E242)</f>
        <v>3</v>
      </c>
      <c r="M242" s="50">
        <f>(L242/E242)</f>
        <v>7.8947368421052627E-2</v>
      </c>
      <c r="N242" s="2">
        <v>42</v>
      </c>
      <c r="O242" s="11">
        <f t="shared" si="6"/>
        <v>4</v>
      </c>
      <c r="P242" s="29">
        <f t="shared" si="7"/>
        <v>0.10526315789473684</v>
      </c>
    </row>
    <row r="243" spans="1:16" x14ac:dyDescent="0.35">
      <c r="A243" s="2" t="s">
        <v>46</v>
      </c>
      <c r="B243" s="2" t="s">
        <v>47</v>
      </c>
      <c r="C243" s="2" t="s">
        <v>37</v>
      </c>
      <c r="D243" s="2" t="s">
        <v>13</v>
      </c>
      <c r="E243" s="2">
        <v>81</v>
      </c>
      <c r="F243" s="2">
        <v>85</v>
      </c>
      <c r="G243" s="2">
        <v>81</v>
      </c>
      <c r="H243" s="2">
        <v>0</v>
      </c>
      <c r="I243" s="2">
        <v>0</v>
      </c>
      <c r="J243" s="2">
        <f>ABS(F243-E243)</f>
        <v>4</v>
      </c>
      <c r="K243" s="29">
        <f>J243/E243</f>
        <v>4.9382716049382713E-2</v>
      </c>
      <c r="L243" s="2">
        <f>ABS(G243-E243)</f>
        <v>0</v>
      </c>
      <c r="M243" s="50">
        <f>(L243/E243)</f>
        <v>0</v>
      </c>
      <c r="N243" s="2">
        <v>83</v>
      </c>
      <c r="O243" s="11">
        <f t="shared" si="6"/>
        <v>2</v>
      </c>
      <c r="P243" s="29">
        <f t="shared" si="7"/>
        <v>2.4691358024691357E-2</v>
      </c>
    </row>
    <row r="244" spans="1:16" x14ac:dyDescent="0.35">
      <c r="A244" s="2" t="s">
        <v>46</v>
      </c>
      <c r="B244" s="2" t="s">
        <v>47</v>
      </c>
      <c r="C244" s="2" t="s">
        <v>37</v>
      </c>
      <c r="D244" s="2" t="s">
        <v>14</v>
      </c>
      <c r="E244" s="2">
        <v>85</v>
      </c>
      <c r="F244" s="2">
        <v>81</v>
      </c>
      <c r="G244" s="2">
        <v>81</v>
      </c>
      <c r="H244" s="2">
        <v>1</v>
      </c>
      <c r="I244" s="2">
        <v>0</v>
      </c>
      <c r="J244" s="2">
        <f>ABS(F244-E244)</f>
        <v>4</v>
      </c>
      <c r="K244" s="29">
        <f>J244/E244</f>
        <v>4.7058823529411764E-2</v>
      </c>
      <c r="L244" s="2">
        <f>ABS(G244-E244)</f>
        <v>4</v>
      </c>
      <c r="M244" s="50">
        <f>(L244/E244)</f>
        <v>4.7058823529411764E-2</v>
      </c>
      <c r="N244" s="2">
        <v>84</v>
      </c>
      <c r="O244" s="11">
        <f t="shared" si="6"/>
        <v>1</v>
      </c>
      <c r="P244" s="29">
        <f t="shared" si="7"/>
        <v>1.1764705882352941E-2</v>
      </c>
    </row>
    <row r="245" spans="1:16" x14ac:dyDescent="0.35">
      <c r="A245" s="2" t="s">
        <v>46</v>
      </c>
      <c r="B245" s="2" t="s">
        <v>47</v>
      </c>
      <c r="C245" s="2" t="s">
        <v>37</v>
      </c>
      <c r="D245" s="2" t="s">
        <v>15</v>
      </c>
      <c r="E245" s="2">
        <v>74</v>
      </c>
      <c r="F245" s="2">
        <v>69</v>
      </c>
      <c r="G245" s="2">
        <v>69</v>
      </c>
      <c r="H245" s="2">
        <v>0</v>
      </c>
      <c r="I245" s="2">
        <v>0</v>
      </c>
      <c r="J245" s="2">
        <f>ABS(F245-E245)</f>
        <v>5</v>
      </c>
      <c r="K245" s="29">
        <f>J245/E245</f>
        <v>6.7567567567567571E-2</v>
      </c>
      <c r="L245" s="2">
        <f>ABS(G245-E245)</f>
        <v>5</v>
      </c>
      <c r="M245" s="50">
        <f>(L245/E245)</f>
        <v>6.7567567567567571E-2</v>
      </c>
      <c r="N245" s="2">
        <v>74</v>
      </c>
      <c r="O245" s="11">
        <f t="shared" si="6"/>
        <v>0</v>
      </c>
      <c r="P245" s="29">
        <f t="shared" si="7"/>
        <v>0</v>
      </c>
    </row>
    <row r="246" spans="1:16" x14ac:dyDescent="0.35">
      <c r="A246" s="2" t="s">
        <v>46</v>
      </c>
      <c r="B246" s="2" t="s">
        <v>47</v>
      </c>
      <c r="C246" s="2" t="s">
        <v>37</v>
      </c>
      <c r="D246" s="2" t="s">
        <v>16</v>
      </c>
      <c r="E246" s="2">
        <v>78</v>
      </c>
      <c r="F246" s="2">
        <v>94</v>
      </c>
      <c r="G246" s="2">
        <v>73</v>
      </c>
      <c r="H246" s="2">
        <v>0</v>
      </c>
      <c r="I246" s="2">
        <v>0</v>
      </c>
      <c r="J246" s="2">
        <f>ABS(F246-E246)</f>
        <v>16</v>
      </c>
      <c r="K246" s="29">
        <f>J246/E246</f>
        <v>0.20512820512820512</v>
      </c>
      <c r="L246" s="2">
        <f>ABS(G246-E246)</f>
        <v>5</v>
      </c>
      <c r="M246" s="50">
        <f>(L246/E246)</f>
        <v>6.4102564102564097E-2</v>
      </c>
      <c r="N246" s="2">
        <v>84</v>
      </c>
      <c r="O246" s="11">
        <f t="shared" si="6"/>
        <v>6</v>
      </c>
      <c r="P246" s="29">
        <f t="shared" si="7"/>
        <v>7.6923076923076927E-2</v>
      </c>
    </row>
    <row r="247" spans="1:16" x14ac:dyDescent="0.35">
      <c r="A247" s="2" t="s">
        <v>46</v>
      </c>
      <c r="B247" s="2" t="s">
        <v>47</v>
      </c>
      <c r="C247" s="2" t="s">
        <v>37</v>
      </c>
      <c r="D247" s="2" t="s">
        <v>17</v>
      </c>
      <c r="E247" s="2">
        <v>67</v>
      </c>
      <c r="F247" s="2">
        <v>70</v>
      </c>
      <c r="G247" s="2">
        <v>75</v>
      </c>
      <c r="H247" s="2">
        <v>0</v>
      </c>
      <c r="I247" s="2">
        <v>0</v>
      </c>
      <c r="J247" s="2">
        <f>ABS(F247-E247)</f>
        <v>3</v>
      </c>
      <c r="K247" s="29">
        <f>J247/E247</f>
        <v>4.4776119402985072E-2</v>
      </c>
      <c r="L247" s="2">
        <f>ABS(G247-E247)</f>
        <v>8</v>
      </c>
      <c r="M247" s="50">
        <f>(L247/E247)</f>
        <v>0.11940298507462686</v>
      </c>
      <c r="N247" s="2">
        <v>66</v>
      </c>
      <c r="O247" s="11">
        <f t="shared" si="6"/>
        <v>1</v>
      </c>
      <c r="P247" s="29">
        <f t="shared" si="7"/>
        <v>1.4925373134328358E-2</v>
      </c>
    </row>
    <row r="248" spans="1:16" x14ac:dyDescent="0.35">
      <c r="A248" s="2" t="s">
        <v>46</v>
      </c>
      <c r="B248" s="2" t="s">
        <v>47</v>
      </c>
      <c r="C248" s="2" t="s">
        <v>37</v>
      </c>
      <c r="D248" s="2" t="s">
        <v>18</v>
      </c>
      <c r="E248" s="2">
        <v>27</v>
      </c>
      <c r="F248" s="2">
        <v>22</v>
      </c>
      <c r="G248" s="2">
        <v>27</v>
      </c>
      <c r="H248" s="2">
        <v>0</v>
      </c>
      <c r="I248" s="2">
        <v>1</v>
      </c>
      <c r="J248" s="2">
        <f>ABS(F248-E248)</f>
        <v>5</v>
      </c>
      <c r="K248" s="29">
        <f>J248/E248</f>
        <v>0.18518518518518517</v>
      </c>
      <c r="L248" s="2">
        <f>ABS(G248-E248)</f>
        <v>0</v>
      </c>
      <c r="M248" s="50">
        <f>(L248/E248)</f>
        <v>0</v>
      </c>
      <c r="N248" s="2">
        <v>33</v>
      </c>
      <c r="O248" s="11">
        <f t="shared" si="6"/>
        <v>6</v>
      </c>
      <c r="P248" s="29">
        <f t="shared" si="7"/>
        <v>0.22222222222222221</v>
      </c>
    </row>
    <row r="249" spans="1:16" x14ac:dyDescent="0.35">
      <c r="A249" s="2" t="s">
        <v>46</v>
      </c>
      <c r="B249" s="2" t="s">
        <v>47</v>
      </c>
      <c r="C249" s="2" t="s">
        <v>37</v>
      </c>
      <c r="D249" s="2" t="s">
        <v>19</v>
      </c>
      <c r="E249" s="2">
        <v>63</v>
      </c>
      <c r="F249" s="2">
        <v>61</v>
      </c>
      <c r="G249" s="2">
        <v>65</v>
      </c>
      <c r="H249" s="2">
        <v>0</v>
      </c>
      <c r="I249" s="2">
        <v>0</v>
      </c>
      <c r="J249" s="2">
        <f>ABS(F249-E249)</f>
        <v>2</v>
      </c>
      <c r="K249" s="29">
        <f>J249/E249</f>
        <v>3.1746031746031744E-2</v>
      </c>
      <c r="L249" s="2">
        <f>ABS(G249-E249)</f>
        <v>2</v>
      </c>
      <c r="M249" s="50">
        <f>(L249/E249)</f>
        <v>3.1746031746031744E-2</v>
      </c>
      <c r="N249" s="2">
        <v>59</v>
      </c>
      <c r="O249" s="11">
        <f t="shared" si="6"/>
        <v>4</v>
      </c>
      <c r="P249" s="29">
        <f t="shared" si="7"/>
        <v>6.3492063492063489E-2</v>
      </c>
    </row>
    <row r="250" spans="1:16" x14ac:dyDescent="0.35">
      <c r="A250" s="2" t="s">
        <v>46</v>
      </c>
      <c r="B250" s="2" t="s">
        <v>47</v>
      </c>
      <c r="C250" s="2" t="s">
        <v>37</v>
      </c>
      <c r="D250" s="2" t="s">
        <v>20</v>
      </c>
      <c r="E250" s="2">
        <v>51</v>
      </c>
      <c r="F250" s="2">
        <v>54</v>
      </c>
      <c r="G250" s="2">
        <v>47</v>
      </c>
      <c r="H250" s="2">
        <v>0</v>
      </c>
      <c r="I250" s="2">
        <v>0</v>
      </c>
      <c r="J250" s="2">
        <f>ABS(F250-E250)</f>
        <v>3</v>
      </c>
      <c r="K250" s="29">
        <f>J250/E250</f>
        <v>5.8823529411764705E-2</v>
      </c>
      <c r="L250" s="2">
        <f>ABS(G250-E250)</f>
        <v>4</v>
      </c>
      <c r="M250" s="50">
        <f>(L250/E250)</f>
        <v>7.8431372549019607E-2</v>
      </c>
      <c r="N250" s="2">
        <v>55</v>
      </c>
      <c r="O250" s="11">
        <f t="shared" si="6"/>
        <v>4</v>
      </c>
      <c r="P250" s="29">
        <f t="shared" si="7"/>
        <v>7.8431372549019607E-2</v>
      </c>
    </row>
    <row r="251" spans="1:16" x14ac:dyDescent="0.35">
      <c r="A251" s="2" t="s">
        <v>46</v>
      </c>
      <c r="B251" s="2" t="s">
        <v>47</v>
      </c>
      <c r="C251" s="2" t="s">
        <v>37</v>
      </c>
      <c r="D251" s="2" t="s">
        <v>21</v>
      </c>
      <c r="E251" s="2">
        <v>51</v>
      </c>
      <c r="F251" s="2">
        <v>47</v>
      </c>
      <c r="G251" s="2">
        <v>53</v>
      </c>
      <c r="H251" s="2">
        <v>0</v>
      </c>
      <c r="I251" s="2">
        <v>0</v>
      </c>
      <c r="J251" s="2">
        <f>ABS(F251-E251)</f>
        <v>4</v>
      </c>
      <c r="K251" s="29">
        <f>J251/E251</f>
        <v>7.8431372549019607E-2</v>
      </c>
      <c r="L251" s="2">
        <f>ABS(G251-E251)</f>
        <v>2</v>
      </c>
      <c r="M251" s="50">
        <f>(L251/E251)</f>
        <v>3.9215686274509803E-2</v>
      </c>
      <c r="N251" s="2">
        <v>53</v>
      </c>
      <c r="O251" s="11">
        <f t="shared" si="6"/>
        <v>2</v>
      </c>
      <c r="P251" s="29">
        <f t="shared" si="7"/>
        <v>3.9215686274509803E-2</v>
      </c>
    </row>
    <row r="252" spans="1:16" x14ac:dyDescent="0.35">
      <c r="A252" s="2" t="s">
        <v>46</v>
      </c>
      <c r="B252" s="2" t="s">
        <v>47</v>
      </c>
      <c r="C252" s="2" t="s">
        <v>37</v>
      </c>
      <c r="D252" s="2" t="s">
        <v>22</v>
      </c>
      <c r="E252" s="2">
        <v>59</v>
      </c>
      <c r="F252" s="2">
        <v>65</v>
      </c>
      <c r="G252" s="2">
        <v>56</v>
      </c>
      <c r="H252" s="2">
        <v>0</v>
      </c>
      <c r="I252" s="2">
        <v>0</v>
      </c>
      <c r="J252" s="2">
        <f>ABS(F252-E252)</f>
        <v>6</v>
      </c>
      <c r="K252" s="29">
        <f>J252/E252</f>
        <v>0.10169491525423729</v>
      </c>
      <c r="L252" s="2">
        <f>ABS(G252-E252)</f>
        <v>3</v>
      </c>
      <c r="M252" s="50">
        <f>(L252/E252)</f>
        <v>5.0847457627118647E-2</v>
      </c>
      <c r="N252" s="2">
        <v>61</v>
      </c>
      <c r="O252" s="11">
        <f t="shared" si="6"/>
        <v>2</v>
      </c>
      <c r="P252" s="29">
        <f t="shared" si="7"/>
        <v>3.3898305084745763E-2</v>
      </c>
    </row>
    <row r="253" spans="1:16" x14ac:dyDescent="0.35">
      <c r="A253" s="2" t="s">
        <v>46</v>
      </c>
      <c r="B253" s="2" t="s">
        <v>47</v>
      </c>
      <c r="C253" s="2" t="s">
        <v>37</v>
      </c>
      <c r="D253" s="2" t="s">
        <v>23</v>
      </c>
      <c r="E253" s="2">
        <v>60</v>
      </c>
      <c r="F253" s="2">
        <v>69</v>
      </c>
      <c r="G253" s="2">
        <v>59</v>
      </c>
      <c r="H253" s="2">
        <v>0</v>
      </c>
      <c r="I253" s="2">
        <v>0</v>
      </c>
      <c r="J253" s="2">
        <f>ABS(F253-E253)</f>
        <v>9</v>
      </c>
      <c r="K253" s="29">
        <f>J253/E253</f>
        <v>0.15</v>
      </c>
      <c r="L253" s="2">
        <f>ABS(G253-E253)</f>
        <v>1</v>
      </c>
      <c r="M253" s="50">
        <f>(L253/E253)</f>
        <v>1.6666666666666666E-2</v>
      </c>
      <c r="N253" s="2">
        <v>61</v>
      </c>
      <c r="O253" s="11">
        <f t="shared" si="6"/>
        <v>1</v>
      </c>
      <c r="P253" s="29">
        <f t="shared" si="7"/>
        <v>1.6666666666666666E-2</v>
      </c>
    </row>
    <row r="254" spans="1:16" x14ac:dyDescent="0.35">
      <c r="A254" s="2" t="s">
        <v>46</v>
      </c>
      <c r="B254" s="2" t="s">
        <v>47</v>
      </c>
      <c r="C254" s="2" t="s">
        <v>37</v>
      </c>
      <c r="D254" s="2" t="s">
        <v>24</v>
      </c>
      <c r="E254" s="2">
        <v>67</v>
      </c>
      <c r="F254" s="2">
        <v>76</v>
      </c>
      <c r="G254" s="2">
        <v>64</v>
      </c>
      <c r="H254" s="2">
        <v>0</v>
      </c>
      <c r="I254" s="2">
        <v>0</v>
      </c>
      <c r="J254" s="2">
        <f>ABS(F254-E254)</f>
        <v>9</v>
      </c>
      <c r="K254" s="29">
        <f>J254/E254</f>
        <v>0.13432835820895522</v>
      </c>
      <c r="L254" s="2">
        <f>ABS(G254-E254)</f>
        <v>3</v>
      </c>
      <c r="M254" s="50">
        <f>(L254/E254)</f>
        <v>4.4776119402985072E-2</v>
      </c>
      <c r="N254" s="2">
        <v>76</v>
      </c>
      <c r="O254" s="11">
        <f t="shared" si="6"/>
        <v>9</v>
      </c>
      <c r="P254" s="29">
        <f t="shared" si="7"/>
        <v>0.13432835820895522</v>
      </c>
    </row>
    <row r="255" spans="1:16" x14ac:dyDescent="0.35">
      <c r="A255" s="2" t="s">
        <v>46</v>
      </c>
      <c r="B255" s="2" t="s">
        <v>47</v>
      </c>
      <c r="C255" s="2" t="s">
        <v>37</v>
      </c>
      <c r="D255" s="2" t="s">
        <v>25</v>
      </c>
      <c r="E255" s="2">
        <v>82</v>
      </c>
      <c r="F255" s="2">
        <v>98</v>
      </c>
      <c r="G255" s="2">
        <v>80</v>
      </c>
      <c r="H255" s="2">
        <v>0</v>
      </c>
      <c r="I255" s="2">
        <v>0</v>
      </c>
      <c r="J255" s="2">
        <f>ABS(F255-E255)</f>
        <v>16</v>
      </c>
      <c r="K255" s="29">
        <f>J255/E255</f>
        <v>0.1951219512195122</v>
      </c>
      <c r="L255" s="2">
        <f>ABS(G255-E255)</f>
        <v>2</v>
      </c>
      <c r="M255" s="50">
        <f>(L255/E255)</f>
        <v>2.4390243902439025E-2</v>
      </c>
      <c r="N255" s="2">
        <v>89</v>
      </c>
      <c r="O255" s="11">
        <f t="shared" si="6"/>
        <v>7</v>
      </c>
      <c r="P255" s="29">
        <f t="shared" si="7"/>
        <v>8.5365853658536592E-2</v>
      </c>
    </row>
    <row r="256" spans="1:16" x14ac:dyDescent="0.35">
      <c r="A256" s="2" t="s">
        <v>46</v>
      </c>
      <c r="B256" s="2" t="s">
        <v>47</v>
      </c>
      <c r="C256" s="2" t="s">
        <v>37</v>
      </c>
      <c r="D256" s="2" t="s">
        <v>26</v>
      </c>
      <c r="E256" s="2">
        <v>78</v>
      </c>
      <c r="F256" s="2">
        <v>83</v>
      </c>
      <c r="G256" s="2">
        <v>77</v>
      </c>
      <c r="H256" s="2">
        <v>1</v>
      </c>
      <c r="I256" s="2">
        <v>0</v>
      </c>
      <c r="J256" s="2">
        <f>ABS(F256-E256)</f>
        <v>5</v>
      </c>
      <c r="K256" s="29">
        <f>J256/E256</f>
        <v>6.4102564102564097E-2</v>
      </c>
      <c r="L256" s="2">
        <f>ABS(G256-E256)</f>
        <v>1</v>
      </c>
      <c r="M256" s="50">
        <f>(L256/E256)</f>
        <v>1.282051282051282E-2</v>
      </c>
      <c r="N256" s="2">
        <v>80</v>
      </c>
      <c r="O256" s="11">
        <f t="shared" si="6"/>
        <v>2</v>
      </c>
      <c r="P256" s="29">
        <f t="shared" si="7"/>
        <v>2.564102564102564E-2</v>
      </c>
    </row>
    <row r="257" spans="1:16" x14ac:dyDescent="0.35">
      <c r="A257" s="2" t="s">
        <v>46</v>
      </c>
      <c r="B257" s="2" t="s">
        <v>47</v>
      </c>
      <c r="C257" s="2" t="s">
        <v>37</v>
      </c>
      <c r="D257" s="2" t="s">
        <v>27</v>
      </c>
      <c r="E257" s="2">
        <v>65</v>
      </c>
      <c r="F257" s="2">
        <v>72</v>
      </c>
      <c r="G257" s="2">
        <v>69</v>
      </c>
      <c r="H257" s="2">
        <v>0</v>
      </c>
      <c r="I257" s="2">
        <v>0</v>
      </c>
      <c r="J257" s="2">
        <f>ABS(F257-E257)</f>
        <v>7</v>
      </c>
      <c r="K257" s="29">
        <f>J257/E257</f>
        <v>0.1076923076923077</v>
      </c>
      <c r="L257" s="2">
        <f>ABS(G257-E257)</f>
        <v>4</v>
      </c>
      <c r="M257" s="50">
        <f>(L257/E257)</f>
        <v>6.1538461538461542E-2</v>
      </c>
      <c r="N257" s="2">
        <v>73</v>
      </c>
      <c r="O257" s="11">
        <f t="shared" si="6"/>
        <v>8</v>
      </c>
      <c r="P257" s="29">
        <f t="shared" si="7"/>
        <v>0.12307692307692308</v>
      </c>
    </row>
    <row r="258" spans="1:16" x14ac:dyDescent="0.35">
      <c r="A258" s="2" t="s">
        <v>46</v>
      </c>
      <c r="B258" s="2" t="s">
        <v>47</v>
      </c>
      <c r="C258" s="2" t="s">
        <v>37</v>
      </c>
      <c r="D258" s="2" t="s">
        <v>28</v>
      </c>
      <c r="E258" s="2">
        <v>67</v>
      </c>
      <c r="F258" s="2">
        <v>68</v>
      </c>
      <c r="G258" s="2">
        <v>63</v>
      </c>
      <c r="H258" s="2">
        <v>0</v>
      </c>
      <c r="I258" s="2">
        <v>0</v>
      </c>
      <c r="J258" s="2">
        <f>ABS(F258-E258)</f>
        <v>1</v>
      </c>
      <c r="K258" s="29">
        <f>J258/E258</f>
        <v>1.4925373134328358E-2</v>
      </c>
      <c r="L258" s="2">
        <f>ABS(G258-E258)</f>
        <v>4</v>
      </c>
      <c r="M258" s="50">
        <f>(L258/E258)</f>
        <v>5.9701492537313432E-2</v>
      </c>
      <c r="N258" s="2">
        <v>65</v>
      </c>
      <c r="O258" s="11">
        <f t="shared" si="6"/>
        <v>2</v>
      </c>
      <c r="P258" s="29">
        <f t="shared" si="7"/>
        <v>2.9850746268656716E-2</v>
      </c>
    </row>
    <row r="259" spans="1:16" x14ac:dyDescent="0.35">
      <c r="A259" s="2" t="s">
        <v>46</v>
      </c>
      <c r="B259" s="2" t="s">
        <v>47</v>
      </c>
      <c r="C259" s="2" t="s">
        <v>37</v>
      </c>
      <c r="D259" s="2" t="s">
        <v>29</v>
      </c>
      <c r="E259" s="2">
        <v>65</v>
      </c>
      <c r="F259" s="2">
        <v>62</v>
      </c>
      <c r="G259" s="2">
        <v>70</v>
      </c>
      <c r="H259" s="2">
        <v>1</v>
      </c>
      <c r="I259" s="2">
        <v>0</v>
      </c>
      <c r="J259" s="2">
        <f>ABS(F259-E259)</f>
        <v>3</v>
      </c>
      <c r="K259" s="29">
        <f>J259/E259</f>
        <v>4.6153846153846156E-2</v>
      </c>
      <c r="L259" s="2">
        <f>ABS(G259-E259)</f>
        <v>5</v>
      </c>
      <c r="M259" s="50">
        <f>(L259/E259)</f>
        <v>7.6923076923076927E-2</v>
      </c>
      <c r="N259" s="2">
        <v>64</v>
      </c>
      <c r="O259" s="11">
        <f t="shared" ref="O259:O322" si="8">ABS(N259-E259)</f>
        <v>1</v>
      </c>
      <c r="P259" s="29">
        <f t="shared" ref="P259:P322" si="9">O259/E259</f>
        <v>1.5384615384615385E-2</v>
      </c>
    </row>
    <row r="260" spans="1:16" x14ac:dyDescent="0.35">
      <c r="A260" s="2" t="s">
        <v>46</v>
      </c>
      <c r="B260" s="2" t="s">
        <v>47</v>
      </c>
      <c r="C260" s="2" t="s">
        <v>37</v>
      </c>
      <c r="D260" s="2" t="s">
        <v>30</v>
      </c>
      <c r="E260" s="2">
        <v>28</v>
      </c>
      <c r="F260" s="2">
        <v>28</v>
      </c>
      <c r="G260" s="2">
        <v>27</v>
      </c>
      <c r="H260" s="2">
        <v>0</v>
      </c>
      <c r="I260" s="2">
        <v>1</v>
      </c>
      <c r="J260" s="2">
        <f>ABS(F260-E260)</f>
        <v>0</v>
      </c>
      <c r="K260" s="29">
        <f>J260/E260</f>
        <v>0</v>
      </c>
      <c r="L260" s="2">
        <f>ABS(G260-E260)</f>
        <v>1</v>
      </c>
      <c r="M260" s="50">
        <f>(L260/E260)</f>
        <v>3.5714285714285712E-2</v>
      </c>
      <c r="N260" s="2">
        <v>33</v>
      </c>
      <c r="O260" s="11">
        <f t="shared" si="8"/>
        <v>5</v>
      </c>
      <c r="P260" s="29">
        <f t="shared" si="9"/>
        <v>0.17857142857142858</v>
      </c>
    </row>
    <row r="261" spans="1:16" x14ac:dyDescent="0.35">
      <c r="A261" s="2" t="s">
        <v>46</v>
      </c>
      <c r="B261" s="2" t="s">
        <v>47</v>
      </c>
      <c r="C261" s="2" t="s">
        <v>37</v>
      </c>
      <c r="D261" s="2" t="s">
        <v>31</v>
      </c>
      <c r="E261" s="2">
        <v>53</v>
      </c>
      <c r="F261" s="2">
        <v>56</v>
      </c>
      <c r="G261" s="2">
        <v>50</v>
      </c>
      <c r="H261" s="2">
        <v>0</v>
      </c>
      <c r="I261" s="2">
        <v>0</v>
      </c>
      <c r="J261" s="2">
        <f>ABS(F261-E261)</f>
        <v>3</v>
      </c>
      <c r="K261" s="29">
        <f>J261/E261</f>
        <v>5.6603773584905662E-2</v>
      </c>
      <c r="L261" s="2">
        <f>ABS(G261-E261)</f>
        <v>3</v>
      </c>
      <c r="M261" s="50">
        <f>(L261/E261)</f>
        <v>5.6603773584905662E-2</v>
      </c>
      <c r="N261" s="2">
        <v>56</v>
      </c>
      <c r="O261" s="11">
        <f t="shared" si="8"/>
        <v>3</v>
      </c>
      <c r="P261" s="29">
        <f t="shared" si="9"/>
        <v>5.6603773584905662E-2</v>
      </c>
    </row>
    <row r="262" spans="1:16" x14ac:dyDescent="0.35">
      <c r="A262" s="2" t="s">
        <v>46</v>
      </c>
      <c r="B262" s="2" t="s">
        <v>47</v>
      </c>
      <c r="C262" s="2" t="s">
        <v>37</v>
      </c>
      <c r="D262" s="2" t="s">
        <v>32</v>
      </c>
      <c r="E262" s="2">
        <v>54</v>
      </c>
      <c r="F262" s="2">
        <v>61</v>
      </c>
      <c r="G262" s="2">
        <v>56</v>
      </c>
      <c r="H262" s="2">
        <v>0</v>
      </c>
      <c r="I262" s="2">
        <v>0</v>
      </c>
      <c r="J262" s="2">
        <f>ABS(F262-E262)</f>
        <v>7</v>
      </c>
      <c r="K262" s="29">
        <f>J262/E262</f>
        <v>0.12962962962962962</v>
      </c>
      <c r="L262" s="2">
        <f>ABS(G262-E262)</f>
        <v>2</v>
      </c>
      <c r="M262" s="50">
        <f>(L262/E262)</f>
        <v>3.7037037037037035E-2</v>
      </c>
      <c r="N262" s="2">
        <v>56</v>
      </c>
      <c r="O262" s="11">
        <f t="shared" si="8"/>
        <v>2</v>
      </c>
      <c r="P262" s="29">
        <f t="shared" si="9"/>
        <v>3.7037037037037035E-2</v>
      </c>
    </row>
    <row r="263" spans="1:16" x14ac:dyDescent="0.35">
      <c r="A263" s="2" t="s">
        <v>46</v>
      </c>
      <c r="B263" s="2" t="s">
        <v>47</v>
      </c>
      <c r="C263" s="2" t="s">
        <v>37</v>
      </c>
      <c r="D263" s="2" t="s">
        <v>33</v>
      </c>
      <c r="E263" s="2">
        <v>54</v>
      </c>
      <c r="F263" s="2">
        <v>59</v>
      </c>
      <c r="G263" s="2">
        <v>56</v>
      </c>
      <c r="H263" s="2">
        <v>0</v>
      </c>
      <c r="I263" s="2">
        <v>0</v>
      </c>
      <c r="J263" s="2">
        <f>ABS(F263-E263)</f>
        <v>5</v>
      </c>
      <c r="K263" s="29">
        <f>J263/E263</f>
        <v>9.2592592592592587E-2</v>
      </c>
      <c r="L263" s="2">
        <f>ABS(G263-E263)</f>
        <v>2</v>
      </c>
      <c r="M263" s="50">
        <f>(L263/E263)</f>
        <v>3.7037037037037035E-2</v>
      </c>
      <c r="N263" s="2">
        <v>56</v>
      </c>
      <c r="O263" s="11">
        <f t="shared" si="8"/>
        <v>2</v>
      </c>
      <c r="P263" s="29">
        <f t="shared" si="9"/>
        <v>3.7037037037037035E-2</v>
      </c>
    </row>
    <row r="264" spans="1:16" x14ac:dyDescent="0.35">
      <c r="A264" s="2" t="s">
        <v>46</v>
      </c>
      <c r="B264" s="2" t="s">
        <v>47</v>
      </c>
      <c r="C264" s="2" t="s">
        <v>37</v>
      </c>
      <c r="D264" s="2" t="s">
        <v>34</v>
      </c>
      <c r="E264" s="2">
        <v>65</v>
      </c>
      <c r="F264" s="2">
        <v>65</v>
      </c>
      <c r="G264" s="2">
        <v>63</v>
      </c>
      <c r="H264" s="2">
        <v>0</v>
      </c>
      <c r="I264" s="2">
        <v>0</v>
      </c>
      <c r="J264" s="2">
        <f>ABS(F264-E264)</f>
        <v>0</v>
      </c>
      <c r="K264" s="29">
        <f>J264/E264</f>
        <v>0</v>
      </c>
      <c r="L264" s="2">
        <f>ABS(G264-E264)</f>
        <v>2</v>
      </c>
      <c r="M264" s="50">
        <f>(L264/E264)</f>
        <v>3.0769230769230771E-2</v>
      </c>
      <c r="N264" s="2">
        <v>60</v>
      </c>
      <c r="O264" s="11">
        <f t="shared" si="8"/>
        <v>5</v>
      </c>
      <c r="P264" s="29">
        <f t="shared" si="9"/>
        <v>7.6923076923076927E-2</v>
      </c>
    </row>
    <row r="265" spans="1:16" x14ac:dyDescent="0.35">
      <c r="A265" s="2" t="s">
        <v>46</v>
      </c>
      <c r="B265" s="2" t="s">
        <v>47</v>
      </c>
      <c r="C265" s="2" t="s">
        <v>37</v>
      </c>
      <c r="D265" s="2" t="s">
        <v>35</v>
      </c>
      <c r="E265" s="2">
        <v>61</v>
      </c>
      <c r="F265" s="2">
        <v>54</v>
      </c>
      <c r="G265" s="2">
        <v>61</v>
      </c>
      <c r="H265" s="2">
        <v>0</v>
      </c>
      <c r="I265" s="2">
        <v>0</v>
      </c>
      <c r="J265" s="2">
        <f>ABS(F265-E265)</f>
        <v>7</v>
      </c>
      <c r="K265" s="29">
        <f>J265/E265</f>
        <v>0.11475409836065574</v>
      </c>
      <c r="L265" s="2">
        <f>ABS(G265-E265)</f>
        <v>0</v>
      </c>
      <c r="M265" s="50">
        <f>(L265/E265)</f>
        <v>0</v>
      </c>
      <c r="N265" s="2">
        <v>61</v>
      </c>
      <c r="O265" s="11">
        <f t="shared" si="8"/>
        <v>0</v>
      </c>
      <c r="P265" s="29">
        <f t="shared" si="9"/>
        <v>0</v>
      </c>
    </row>
    <row r="266" spans="1:16" x14ac:dyDescent="0.35">
      <c r="A266" s="2" t="s">
        <v>46</v>
      </c>
      <c r="B266" s="2" t="s">
        <v>47</v>
      </c>
      <c r="C266" s="2" t="s">
        <v>38</v>
      </c>
      <c r="D266" s="2" t="s">
        <v>12</v>
      </c>
      <c r="E266" s="2">
        <v>182</v>
      </c>
      <c r="F266" s="2">
        <v>188</v>
      </c>
      <c r="G266" s="2">
        <v>181</v>
      </c>
      <c r="H266" s="2">
        <v>0</v>
      </c>
      <c r="I266" s="2">
        <v>0</v>
      </c>
      <c r="J266" s="2">
        <f>ABS(F266-E266)</f>
        <v>6</v>
      </c>
      <c r="K266" s="29">
        <f>J266/E266</f>
        <v>3.2967032967032968E-2</v>
      </c>
      <c r="L266" s="2">
        <f>ABS(G266-E266)</f>
        <v>1</v>
      </c>
      <c r="M266" s="50">
        <f>(L266/E266)</f>
        <v>5.4945054945054949E-3</v>
      </c>
      <c r="N266" s="2">
        <v>174</v>
      </c>
      <c r="O266" s="11">
        <f t="shared" si="8"/>
        <v>8</v>
      </c>
      <c r="P266" s="29">
        <f t="shared" si="9"/>
        <v>4.3956043956043959E-2</v>
      </c>
    </row>
    <row r="267" spans="1:16" x14ac:dyDescent="0.35">
      <c r="A267" s="2" t="s">
        <v>46</v>
      </c>
      <c r="B267" s="2" t="s">
        <v>47</v>
      </c>
      <c r="C267" s="2" t="s">
        <v>38</v>
      </c>
      <c r="D267" s="2" t="s">
        <v>13</v>
      </c>
      <c r="E267" s="2">
        <v>199</v>
      </c>
      <c r="F267" s="2">
        <v>204</v>
      </c>
      <c r="G267" s="2">
        <v>209</v>
      </c>
      <c r="H267" s="2">
        <v>0</v>
      </c>
      <c r="I267" s="2">
        <v>0</v>
      </c>
      <c r="J267" s="2">
        <f>ABS(F267-E267)</f>
        <v>5</v>
      </c>
      <c r="K267" s="29">
        <f>J267/E267</f>
        <v>2.5125628140703519E-2</v>
      </c>
      <c r="L267" s="2">
        <f>ABS(G267-E267)</f>
        <v>10</v>
      </c>
      <c r="M267" s="50">
        <f>(L267/E267)</f>
        <v>5.0251256281407038E-2</v>
      </c>
      <c r="N267" s="2">
        <v>200</v>
      </c>
      <c r="O267" s="11">
        <f t="shared" si="8"/>
        <v>1</v>
      </c>
      <c r="P267" s="29">
        <f t="shared" si="9"/>
        <v>5.0251256281407036E-3</v>
      </c>
    </row>
    <row r="268" spans="1:16" x14ac:dyDescent="0.35">
      <c r="A268" s="2" t="s">
        <v>46</v>
      </c>
      <c r="B268" s="2" t="s">
        <v>47</v>
      </c>
      <c r="C268" s="2" t="s">
        <v>38</v>
      </c>
      <c r="D268" s="2" t="s">
        <v>14</v>
      </c>
      <c r="E268" s="2">
        <v>152</v>
      </c>
      <c r="F268" s="2">
        <v>121</v>
      </c>
      <c r="G268" s="2">
        <v>148</v>
      </c>
      <c r="H268" s="2">
        <v>0</v>
      </c>
      <c r="I268" s="2">
        <v>0</v>
      </c>
      <c r="J268" s="2">
        <f>ABS(F268-E268)</f>
        <v>31</v>
      </c>
      <c r="K268" s="29">
        <f>J268/E268</f>
        <v>0.20394736842105263</v>
      </c>
      <c r="L268" s="2">
        <f>ABS(G268-E268)</f>
        <v>4</v>
      </c>
      <c r="M268" s="50">
        <f>(L268/E268)</f>
        <v>2.6315789473684209E-2</v>
      </c>
      <c r="N268" s="2">
        <v>142</v>
      </c>
      <c r="O268" s="11">
        <f t="shared" si="8"/>
        <v>10</v>
      </c>
      <c r="P268" s="29">
        <f t="shared" si="9"/>
        <v>6.5789473684210523E-2</v>
      </c>
    </row>
    <row r="269" spans="1:16" x14ac:dyDescent="0.35">
      <c r="A269" s="2" t="s">
        <v>46</v>
      </c>
      <c r="B269" s="2" t="s">
        <v>47</v>
      </c>
      <c r="C269" s="2" t="s">
        <v>38</v>
      </c>
      <c r="D269" s="2" t="s">
        <v>15</v>
      </c>
      <c r="E269" s="2">
        <v>185</v>
      </c>
      <c r="F269" s="2">
        <v>192</v>
      </c>
      <c r="G269" s="2">
        <v>195</v>
      </c>
      <c r="H269" s="2">
        <v>0</v>
      </c>
      <c r="I269" s="2">
        <v>0</v>
      </c>
      <c r="J269" s="2">
        <f>ABS(F269-E269)</f>
        <v>7</v>
      </c>
      <c r="K269" s="29">
        <f>J269/E269</f>
        <v>3.783783783783784E-2</v>
      </c>
      <c r="L269" s="2">
        <f>ABS(G269-E269)</f>
        <v>10</v>
      </c>
      <c r="M269" s="50">
        <f>(L269/E269)</f>
        <v>5.4054054054054057E-2</v>
      </c>
      <c r="N269" s="2">
        <v>181</v>
      </c>
      <c r="O269" s="11">
        <f t="shared" si="8"/>
        <v>4</v>
      </c>
      <c r="P269" s="29">
        <f t="shared" si="9"/>
        <v>2.1621621621621623E-2</v>
      </c>
    </row>
    <row r="270" spans="1:16" x14ac:dyDescent="0.35">
      <c r="A270" s="2" t="s">
        <v>46</v>
      </c>
      <c r="B270" s="2" t="s">
        <v>47</v>
      </c>
      <c r="C270" s="2" t="s">
        <v>38</v>
      </c>
      <c r="D270" s="2" t="s">
        <v>16</v>
      </c>
      <c r="E270" s="2">
        <v>168</v>
      </c>
      <c r="F270" s="2">
        <v>189</v>
      </c>
      <c r="G270" s="2">
        <v>163</v>
      </c>
      <c r="H270" s="2">
        <v>0</v>
      </c>
      <c r="I270" s="2">
        <v>0</v>
      </c>
      <c r="J270" s="2">
        <f>ABS(F270-E270)</f>
        <v>21</v>
      </c>
      <c r="K270" s="29">
        <f>J270/E270</f>
        <v>0.125</v>
      </c>
      <c r="L270" s="2">
        <f>ABS(G270-E270)</f>
        <v>5</v>
      </c>
      <c r="M270" s="50">
        <f>(L270/E270)</f>
        <v>2.976190476190476E-2</v>
      </c>
      <c r="N270" s="2">
        <v>171</v>
      </c>
      <c r="O270" s="11">
        <f t="shared" si="8"/>
        <v>3</v>
      </c>
      <c r="P270" s="29">
        <f t="shared" si="9"/>
        <v>1.7857142857142856E-2</v>
      </c>
    </row>
    <row r="271" spans="1:16" x14ac:dyDescent="0.35">
      <c r="A271" s="2" t="s">
        <v>46</v>
      </c>
      <c r="B271" s="2" t="s">
        <v>47</v>
      </c>
      <c r="C271" s="2" t="s">
        <v>38</v>
      </c>
      <c r="D271" s="2" t="s">
        <v>17</v>
      </c>
      <c r="E271" s="2">
        <v>150</v>
      </c>
      <c r="F271" s="2">
        <v>169</v>
      </c>
      <c r="G271" s="2">
        <v>142</v>
      </c>
      <c r="H271" s="2">
        <v>0</v>
      </c>
      <c r="I271" s="2">
        <v>0</v>
      </c>
      <c r="J271" s="2">
        <f>ABS(F271-E271)</f>
        <v>19</v>
      </c>
      <c r="K271" s="29">
        <f>J271/E271</f>
        <v>0.12666666666666668</v>
      </c>
      <c r="L271" s="2">
        <f>ABS(G271-E271)</f>
        <v>8</v>
      </c>
      <c r="M271" s="50">
        <f>(L271/E271)</f>
        <v>5.3333333333333337E-2</v>
      </c>
      <c r="N271" s="2">
        <v>157</v>
      </c>
      <c r="O271" s="11">
        <f t="shared" si="8"/>
        <v>7</v>
      </c>
      <c r="P271" s="29">
        <f t="shared" si="9"/>
        <v>4.6666666666666669E-2</v>
      </c>
    </row>
    <row r="272" spans="1:16" x14ac:dyDescent="0.35">
      <c r="A272" s="2" t="s">
        <v>46</v>
      </c>
      <c r="B272" s="2" t="s">
        <v>47</v>
      </c>
      <c r="C272" s="2" t="s">
        <v>38</v>
      </c>
      <c r="D272" s="2" t="s">
        <v>18</v>
      </c>
      <c r="E272" s="2">
        <v>130</v>
      </c>
      <c r="F272" s="2">
        <v>143</v>
      </c>
      <c r="G272" s="2">
        <v>123</v>
      </c>
      <c r="H272" s="2">
        <v>1</v>
      </c>
      <c r="I272" s="2">
        <v>0</v>
      </c>
      <c r="J272" s="2">
        <f>ABS(F272-E272)</f>
        <v>13</v>
      </c>
      <c r="K272" s="29">
        <f>J272/E272</f>
        <v>0.1</v>
      </c>
      <c r="L272" s="2">
        <f>ABS(G272-E272)</f>
        <v>7</v>
      </c>
      <c r="M272" s="50">
        <f>(L272/E272)</f>
        <v>5.3846153846153849E-2</v>
      </c>
      <c r="N272" s="2">
        <v>135</v>
      </c>
      <c r="O272" s="11">
        <f t="shared" si="8"/>
        <v>5</v>
      </c>
      <c r="P272" s="29">
        <f t="shared" si="9"/>
        <v>3.8461538461538464E-2</v>
      </c>
    </row>
    <row r="273" spans="1:16" x14ac:dyDescent="0.35">
      <c r="A273" s="2" t="s">
        <v>46</v>
      </c>
      <c r="B273" s="2" t="s">
        <v>47</v>
      </c>
      <c r="C273" s="2" t="s">
        <v>38</v>
      </c>
      <c r="D273" s="2" t="s">
        <v>19</v>
      </c>
      <c r="E273" s="2">
        <v>60</v>
      </c>
      <c r="F273" s="2">
        <v>61</v>
      </c>
      <c r="G273" s="2">
        <v>60</v>
      </c>
      <c r="H273" s="2">
        <v>0</v>
      </c>
      <c r="I273" s="2">
        <v>1</v>
      </c>
      <c r="J273" s="2">
        <f>ABS(F273-E273)</f>
        <v>1</v>
      </c>
      <c r="K273" s="29">
        <f>J273/E273</f>
        <v>1.6666666666666666E-2</v>
      </c>
      <c r="L273" s="2">
        <f>ABS(G273-E273)</f>
        <v>0</v>
      </c>
      <c r="M273" s="50">
        <f>(L273/E273)</f>
        <v>0</v>
      </c>
      <c r="N273" s="2">
        <v>57</v>
      </c>
      <c r="O273" s="11">
        <f t="shared" si="8"/>
        <v>3</v>
      </c>
      <c r="P273" s="29">
        <f t="shared" si="9"/>
        <v>0.05</v>
      </c>
    </row>
    <row r="274" spans="1:16" x14ac:dyDescent="0.35">
      <c r="A274" s="2" t="s">
        <v>46</v>
      </c>
      <c r="B274" s="2" t="s">
        <v>47</v>
      </c>
      <c r="C274" s="2" t="s">
        <v>38</v>
      </c>
      <c r="D274" s="2" t="s">
        <v>20</v>
      </c>
      <c r="E274" s="2">
        <v>133</v>
      </c>
      <c r="F274" s="2">
        <v>139</v>
      </c>
      <c r="G274" s="2">
        <v>135</v>
      </c>
      <c r="H274" s="2">
        <v>0</v>
      </c>
      <c r="I274" s="2">
        <v>0</v>
      </c>
      <c r="J274" s="2">
        <f>ABS(F274-E274)</f>
        <v>6</v>
      </c>
      <c r="K274" s="29">
        <f>J274/E274</f>
        <v>4.5112781954887216E-2</v>
      </c>
      <c r="L274" s="2">
        <f>ABS(G274-E274)</f>
        <v>2</v>
      </c>
      <c r="M274" s="50">
        <f>(L274/E274)</f>
        <v>1.5037593984962405E-2</v>
      </c>
      <c r="N274" s="2">
        <v>126</v>
      </c>
      <c r="O274" s="11">
        <f t="shared" si="8"/>
        <v>7</v>
      </c>
      <c r="P274" s="29">
        <f t="shared" si="9"/>
        <v>5.2631578947368418E-2</v>
      </c>
    </row>
    <row r="275" spans="1:16" x14ac:dyDescent="0.35">
      <c r="A275" s="2" t="s">
        <v>46</v>
      </c>
      <c r="B275" s="2" t="s">
        <v>47</v>
      </c>
      <c r="C275" s="2" t="s">
        <v>38</v>
      </c>
      <c r="D275" s="2" t="s">
        <v>21</v>
      </c>
      <c r="E275" s="2">
        <v>138</v>
      </c>
      <c r="F275" s="2">
        <v>145</v>
      </c>
      <c r="G275" s="2">
        <v>132</v>
      </c>
      <c r="H275" s="2">
        <v>0</v>
      </c>
      <c r="I275" s="2">
        <v>0</v>
      </c>
      <c r="J275" s="2">
        <f>ABS(F275-E275)</f>
        <v>7</v>
      </c>
      <c r="K275" s="29">
        <f>J275/E275</f>
        <v>5.0724637681159424E-2</v>
      </c>
      <c r="L275" s="2">
        <f>ABS(G275-E275)</f>
        <v>6</v>
      </c>
      <c r="M275" s="50">
        <f>(L275/E275)</f>
        <v>4.3478260869565216E-2</v>
      </c>
      <c r="N275" s="2">
        <v>135</v>
      </c>
      <c r="O275" s="11">
        <f t="shared" si="8"/>
        <v>3</v>
      </c>
      <c r="P275" s="29">
        <f t="shared" si="9"/>
        <v>2.1739130434782608E-2</v>
      </c>
    </row>
    <row r="276" spans="1:16" x14ac:dyDescent="0.35">
      <c r="A276" s="2" t="s">
        <v>46</v>
      </c>
      <c r="B276" s="2" t="s">
        <v>47</v>
      </c>
      <c r="C276" s="2" t="s">
        <v>38</v>
      </c>
      <c r="D276" s="2" t="s">
        <v>22</v>
      </c>
      <c r="E276" s="2">
        <v>127</v>
      </c>
      <c r="F276" s="2">
        <v>140</v>
      </c>
      <c r="G276" s="2">
        <v>119</v>
      </c>
      <c r="H276" s="2">
        <v>0</v>
      </c>
      <c r="I276" s="2">
        <v>0</v>
      </c>
      <c r="J276" s="2">
        <f>ABS(F276-E276)</f>
        <v>13</v>
      </c>
      <c r="K276" s="29">
        <f>J276/E276</f>
        <v>0.10236220472440945</v>
      </c>
      <c r="L276" s="2">
        <f>ABS(G276-E276)</f>
        <v>8</v>
      </c>
      <c r="M276" s="50">
        <f>(L276/E276)</f>
        <v>6.2992125984251968E-2</v>
      </c>
      <c r="N276" s="2">
        <v>130</v>
      </c>
      <c r="O276" s="11">
        <f t="shared" si="8"/>
        <v>3</v>
      </c>
      <c r="P276" s="29">
        <f t="shared" si="9"/>
        <v>2.3622047244094488E-2</v>
      </c>
    </row>
    <row r="277" spans="1:16" x14ac:dyDescent="0.35">
      <c r="A277" s="2" t="s">
        <v>46</v>
      </c>
      <c r="B277" s="2" t="s">
        <v>47</v>
      </c>
      <c r="C277" s="2" t="s">
        <v>38</v>
      </c>
      <c r="D277" s="2" t="s">
        <v>23</v>
      </c>
      <c r="E277" s="2">
        <v>144</v>
      </c>
      <c r="F277" s="2">
        <v>154</v>
      </c>
      <c r="G277" s="2">
        <v>140</v>
      </c>
      <c r="H277" s="2">
        <v>0</v>
      </c>
      <c r="I277" s="2">
        <v>0</v>
      </c>
      <c r="J277" s="2">
        <f>ABS(F277-E277)</f>
        <v>10</v>
      </c>
      <c r="K277" s="29">
        <f>J277/E277</f>
        <v>6.9444444444444448E-2</v>
      </c>
      <c r="L277" s="2">
        <f>ABS(G277-E277)</f>
        <v>4</v>
      </c>
      <c r="M277" s="50">
        <f>(L277/E277)</f>
        <v>2.7777777777777776E-2</v>
      </c>
      <c r="N277" s="2">
        <v>142</v>
      </c>
      <c r="O277" s="11">
        <f t="shared" si="8"/>
        <v>2</v>
      </c>
      <c r="P277" s="29">
        <f t="shared" si="9"/>
        <v>1.3888888888888888E-2</v>
      </c>
    </row>
    <row r="278" spans="1:16" x14ac:dyDescent="0.35">
      <c r="A278" s="2" t="s">
        <v>46</v>
      </c>
      <c r="B278" s="2" t="s">
        <v>47</v>
      </c>
      <c r="C278" s="2" t="s">
        <v>38</v>
      </c>
      <c r="D278" s="2" t="s">
        <v>24</v>
      </c>
      <c r="E278" s="2">
        <v>140</v>
      </c>
      <c r="F278" s="2">
        <v>156</v>
      </c>
      <c r="G278" s="2">
        <v>152</v>
      </c>
      <c r="H278" s="2">
        <v>0</v>
      </c>
      <c r="I278" s="2">
        <v>0</v>
      </c>
      <c r="J278" s="2">
        <f>ABS(F278-E278)</f>
        <v>16</v>
      </c>
      <c r="K278" s="29">
        <f>J278/E278</f>
        <v>0.11428571428571428</v>
      </c>
      <c r="L278" s="2">
        <f>ABS(G278-E278)</f>
        <v>12</v>
      </c>
      <c r="M278" s="50">
        <f>(L278/E278)</f>
        <v>8.5714285714285715E-2</v>
      </c>
      <c r="N278" s="2">
        <v>147</v>
      </c>
      <c r="O278" s="11">
        <f t="shared" si="8"/>
        <v>7</v>
      </c>
      <c r="P278" s="29">
        <f t="shared" si="9"/>
        <v>0.05</v>
      </c>
    </row>
    <row r="279" spans="1:16" x14ac:dyDescent="0.35">
      <c r="A279" s="2" t="s">
        <v>46</v>
      </c>
      <c r="B279" s="2" t="s">
        <v>47</v>
      </c>
      <c r="C279" s="2" t="s">
        <v>38</v>
      </c>
      <c r="D279" s="2" t="s">
        <v>25</v>
      </c>
      <c r="E279" s="2">
        <v>176</v>
      </c>
      <c r="F279" s="2">
        <v>194</v>
      </c>
      <c r="G279" s="2">
        <v>182</v>
      </c>
      <c r="H279" s="2">
        <v>1</v>
      </c>
      <c r="I279" s="2">
        <v>0</v>
      </c>
      <c r="J279" s="2">
        <f>ABS(F279-E279)</f>
        <v>18</v>
      </c>
      <c r="K279" s="29">
        <f>J279/E279</f>
        <v>0.10227272727272728</v>
      </c>
      <c r="L279" s="2">
        <f>ABS(G279-E279)</f>
        <v>6</v>
      </c>
      <c r="M279" s="50">
        <f>(L279/E279)</f>
        <v>3.4090909090909088E-2</v>
      </c>
      <c r="N279" s="2">
        <v>174</v>
      </c>
      <c r="O279" s="11">
        <f t="shared" si="8"/>
        <v>2</v>
      </c>
      <c r="P279" s="29">
        <f t="shared" si="9"/>
        <v>1.1363636363636364E-2</v>
      </c>
    </row>
    <row r="280" spans="1:16" x14ac:dyDescent="0.35">
      <c r="A280" s="2" t="s">
        <v>46</v>
      </c>
      <c r="B280" s="2" t="s">
        <v>47</v>
      </c>
      <c r="C280" s="2" t="s">
        <v>38</v>
      </c>
      <c r="D280" s="2" t="s">
        <v>26</v>
      </c>
      <c r="E280" s="2">
        <v>183</v>
      </c>
      <c r="F280" s="2">
        <v>228</v>
      </c>
      <c r="G280" s="2">
        <v>176</v>
      </c>
      <c r="H280" s="2">
        <v>0</v>
      </c>
      <c r="I280" s="2">
        <v>0</v>
      </c>
      <c r="J280" s="2">
        <f>ABS(F280-E280)</f>
        <v>45</v>
      </c>
      <c r="K280" s="29">
        <f>J280/E280</f>
        <v>0.24590163934426229</v>
      </c>
      <c r="L280" s="2">
        <f>ABS(G280-E280)</f>
        <v>7</v>
      </c>
      <c r="M280" s="50">
        <f>(L280/E280)</f>
        <v>3.825136612021858E-2</v>
      </c>
      <c r="N280" s="2">
        <v>195</v>
      </c>
      <c r="O280" s="11">
        <f t="shared" si="8"/>
        <v>12</v>
      </c>
      <c r="P280" s="29">
        <f t="shared" si="9"/>
        <v>6.5573770491803282E-2</v>
      </c>
    </row>
    <row r="281" spans="1:16" x14ac:dyDescent="0.35">
      <c r="A281" s="2" t="s">
        <v>46</v>
      </c>
      <c r="B281" s="2" t="s">
        <v>47</v>
      </c>
      <c r="C281" s="2" t="s">
        <v>38</v>
      </c>
      <c r="D281" s="2" t="s">
        <v>27</v>
      </c>
      <c r="E281" s="2">
        <v>207</v>
      </c>
      <c r="F281" s="2">
        <v>229</v>
      </c>
      <c r="G281" s="2">
        <v>204</v>
      </c>
      <c r="H281" s="2">
        <v>0</v>
      </c>
      <c r="I281" s="2">
        <v>0</v>
      </c>
      <c r="J281" s="2">
        <f>ABS(F281-E281)</f>
        <v>22</v>
      </c>
      <c r="K281" s="29">
        <f>J281/E281</f>
        <v>0.10628019323671498</v>
      </c>
      <c r="L281" s="2">
        <f>ABS(G281-E281)</f>
        <v>3</v>
      </c>
      <c r="M281" s="50">
        <f>(L281/E281)</f>
        <v>1.4492753623188406E-2</v>
      </c>
      <c r="N281" s="2">
        <v>197</v>
      </c>
      <c r="O281" s="11">
        <f t="shared" si="8"/>
        <v>10</v>
      </c>
      <c r="P281" s="29">
        <f t="shared" si="9"/>
        <v>4.8309178743961352E-2</v>
      </c>
    </row>
    <row r="282" spans="1:16" x14ac:dyDescent="0.35">
      <c r="A282" s="2" t="s">
        <v>46</v>
      </c>
      <c r="B282" s="2" t="s">
        <v>47</v>
      </c>
      <c r="C282" s="2" t="s">
        <v>38</v>
      </c>
      <c r="D282" s="2" t="s">
        <v>28</v>
      </c>
      <c r="E282" s="2">
        <v>132</v>
      </c>
      <c r="F282" s="2">
        <v>128</v>
      </c>
      <c r="G282" s="2">
        <v>130</v>
      </c>
      <c r="H282" s="2">
        <v>0</v>
      </c>
      <c r="I282" s="2">
        <v>0</v>
      </c>
      <c r="J282" s="2">
        <f>ABS(F282-E282)</f>
        <v>4</v>
      </c>
      <c r="K282" s="29">
        <f>J282/E282</f>
        <v>3.0303030303030304E-2</v>
      </c>
      <c r="L282" s="2">
        <f>ABS(G282-E282)</f>
        <v>2</v>
      </c>
      <c r="M282" s="50">
        <f>(L282/E282)</f>
        <v>1.5151515151515152E-2</v>
      </c>
      <c r="N282" s="2">
        <v>136</v>
      </c>
      <c r="O282" s="11">
        <f t="shared" si="8"/>
        <v>4</v>
      </c>
      <c r="P282" s="29">
        <f t="shared" si="9"/>
        <v>3.0303030303030304E-2</v>
      </c>
    </row>
    <row r="283" spans="1:16" x14ac:dyDescent="0.35">
      <c r="A283" s="2" t="s">
        <v>46</v>
      </c>
      <c r="B283" s="2" t="s">
        <v>47</v>
      </c>
      <c r="C283" s="2" t="s">
        <v>38</v>
      </c>
      <c r="D283" s="2" t="s">
        <v>29</v>
      </c>
      <c r="E283" s="2">
        <v>154</v>
      </c>
      <c r="F283" s="2">
        <v>136</v>
      </c>
      <c r="G283" s="2">
        <v>155</v>
      </c>
      <c r="H283" s="2">
        <v>1</v>
      </c>
      <c r="I283" s="2">
        <v>0</v>
      </c>
      <c r="J283" s="2">
        <f>ABS(F283-E283)</f>
        <v>18</v>
      </c>
      <c r="K283" s="29">
        <f>J283/E283</f>
        <v>0.11688311688311688</v>
      </c>
      <c r="L283" s="2">
        <f>ABS(G283-E283)</f>
        <v>1</v>
      </c>
      <c r="M283" s="50">
        <f>(L283/E283)</f>
        <v>6.4935064935064939E-3</v>
      </c>
      <c r="N283" s="2">
        <v>140</v>
      </c>
      <c r="O283" s="11">
        <f t="shared" si="8"/>
        <v>14</v>
      </c>
      <c r="P283" s="29">
        <f t="shared" si="9"/>
        <v>9.0909090909090912E-2</v>
      </c>
    </row>
    <row r="284" spans="1:16" x14ac:dyDescent="0.35">
      <c r="A284" s="2" t="s">
        <v>46</v>
      </c>
      <c r="B284" s="2" t="s">
        <v>47</v>
      </c>
      <c r="C284" s="2" t="s">
        <v>38</v>
      </c>
      <c r="D284" s="2" t="s">
        <v>30</v>
      </c>
      <c r="E284" s="2">
        <v>133</v>
      </c>
      <c r="F284" s="2">
        <v>149</v>
      </c>
      <c r="G284" s="2">
        <v>127</v>
      </c>
      <c r="H284" s="2">
        <v>0</v>
      </c>
      <c r="I284" s="2">
        <v>0</v>
      </c>
      <c r="J284" s="2">
        <f>ABS(F284-E284)</f>
        <v>16</v>
      </c>
      <c r="K284" s="29">
        <f>J284/E284</f>
        <v>0.12030075187969924</v>
      </c>
      <c r="L284" s="2">
        <f>ABS(G284-E284)</f>
        <v>6</v>
      </c>
      <c r="M284" s="50">
        <f>(L284/E284)</f>
        <v>4.5112781954887216E-2</v>
      </c>
      <c r="N284" s="2">
        <v>137</v>
      </c>
      <c r="O284" s="11">
        <f t="shared" si="8"/>
        <v>4</v>
      </c>
      <c r="P284" s="29">
        <f t="shared" si="9"/>
        <v>3.007518796992481E-2</v>
      </c>
    </row>
    <row r="285" spans="1:16" x14ac:dyDescent="0.35">
      <c r="A285" s="2" t="s">
        <v>46</v>
      </c>
      <c r="B285" s="2" t="s">
        <v>47</v>
      </c>
      <c r="C285" s="2" t="s">
        <v>38</v>
      </c>
      <c r="D285" s="2" t="s">
        <v>31</v>
      </c>
      <c r="E285" s="2">
        <v>139</v>
      </c>
      <c r="F285" s="2">
        <v>148</v>
      </c>
      <c r="G285" s="2">
        <v>143</v>
      </c>
      <c r="H285" s="2">
        <v>0</v>
      </c>
      <c r="I285" s="2">
        <v>0</v>
      </c>
      <c r="J285" s="2">
        <f>ABS(F285-E285)</f>
        <v>9</v>
      </c>
      <c r="K285" s="29">
        <f>J285/E285</f>
        <v>6.4748201438848921E-2</v>
      </c>
      <c r="L285" s="2">
        <f>ABS(G285-E285)</f>
        <v>4</v>
      </c>
      <c r="M285" s="50">
        <f>(L285/E285)</f>
        <v>2.8776978417266189E-2</v>
      </c>
      <c r="N285" s="2">
        <v>137</v>
      </c>
      <c r="O285" s="11">
        <f t="shared" si="8"/>
        <v>2</v>
      </c>
      <c r="P285" s="29">
        <f t="shared" si="9"/>
        <v>1.4388489208633094E-2</v>
      </c>
    </row>
    <row r="286" spans="1:16" x14ac:dyDescent="0.35">
      <c r="A286" s="2" t="s">
        <v>46</v>
      </c>
      <c r="B286" s="2" t="s">
        <v>47</v>
      </c>
      <c r="C286" s="2" t="s">
        <v>38</v>
      </c>
      <c r="D286" s="2" t="s">
        <v>32</v>
      </c>
      <c r="E286" s="2">
        <v>139</v>
      </c>
      <c r="F286" s="2">
        <v>165</v>
      </c>
      <c r="G286" s="2">
        <v>133</v>
      </c>
      <c r="H286" s="2">
        <v>1</v>
      </c>
      <c r="I286" s="2">
        <v>0</v>
      </c>
      <c r="J286" s="2">
        <f>ABS(F286-E286)</f>
        <v>26</v>
      </c>
      <c r="K286" s="29">
        <f>J286/E286</f>
        <v>0.18705035971223022</v>
      </c>
      <c r="L286" s="2">
        <f>ABS(G286-E286)</f>
        <v>6</v>
      </c>
      <c r="M286" s="50">
        <f>(L286/E286)</f>
        <v>4.3165467625899283E-2</v>
      </c>
      <c r="N286" s="2">
        <v>138</v>
      </c>
      <c r="O286" s="11">
        <f t="shared" si="8"/>
        <v>1</v>
      </c>
      <c r="P286" s="29">
        <f t="shared" si="9"/>
        <v>7.1942446043165471E-3</v>
      </c>
    </row>
    <row r="287" spans="1:16" x14ac:dyDescent="0.35">
      <c r="A287" s="2" t="s">
        <v>46</v>
      </c>
      <c r="B287" s="2" t="s">
        <v>47</v>
      </c>
      <c r="C287" s="2" t="s">
        <v>38</v>
      </c>
      <c r="D287" s="2" t="s">
        <v>33</v>
      </c>
      <c r="E287" s="2">
        <v>128</v>
      </c>
      <c r="F287" s="2">
        <v>122</v>
      </c>
      <c r="G287" s="2">
        <v>131</v>
      </c>
      <c r="H287" s="2">
        <v>1</v>
      </c>
      <c r="I287" s="2">
        <v>0</v>
      </c>
      <c r="J287" s="2">
        <f>ABS(F287-E287)</f>
        <v>6</v>
      </c>
      <c r="K287" s="29">
        <f>J287/E287</f>
        <v>4.6875E-2</v>
      </c>
      <c r="L287" s="2">
        <f>ABS(G287-E287)</f>
        <v>3</v>
      </c>
      <c r="M287" s="50">
        <f>(L287/E287)</f>
        <v>2.34375E-2</v>
      </c>
      <c r="N287" s="2">
        <v>123</v>
      </c>
      <c r="O287" s="11">
        <f t="shared" si="8"/>
        <v>5</v>
      </c>
      <c r="P287" s="29">
        <f t="shared" si="9"/>
        <v>3.90625E-2</v>
      </c>
    </row>
    <row r="288" spans="1:16" x14ac:dyDescent="0.35">
      <c r="A288" s="2" t="s">
        <v>46</v>
      </c>
      <c r="B288" s="2" t="s">
        <v>47</v>
      </c>
      <c r="C288" s="2" t="s">
        <v>38</v>
      </c>
      <c r="D288" s="2" t="s">
        <v>34</v>
      </c>
      <c r="E288" s="2">
        <v>119</v>
      </c>
      <c r="F288" s="2">
        <v>125</v>
      </c>
      <c r="G288" s="2">
        <v>117</v>
      </c>
      <c r="H288" s="2">
        <v>0</v>
      </c>
      <c r="I288" s="2">
        <v>0</v>
      </c>
      <c r="J288" s="2">
        <f>ABS(F288-E288)</f>
        <v>6</v>
      </c>
      <c r="K288" s="29">
        <f>J288/E288</f>
        <v>5.0420168067226892E-2</v>
      </c>
      <c r="L288" s="2">
        <f>ABS(G288-E288)</f>
        <v>2</v>
      </c>
      <c r="M288" s="50">
        <f>(L288/E288)</f>
        <v>1.680672268907563E-2</v>
      </c>
      <c r="N288" s="2">
        <v>121</v>
      </c>
      <c r="O288" s="11">
        <f t="shared" si="8"/>
        <v>2</v>
      </c>
      <c r="P288" s="29">
        <f t="shared" si="9"/>
        <v>1.680672268907563E-2</v>
      </c>
    </row>
    <row r="289" spans="1:16" x14ac:dyDescent="0.35">
      <c r="A289" s="2" t="s">
        <v>46</v>
      </c>
      <c r="B289" s="2" t="s">
        <v>47</v>
      </c>
      <c r="C289" s="2" t="s">
        <v>38</v>
      </c>
      <c r="D289" s="2" t="s">
        <v>35</v>
      </c>
      <c r="E289" s="2">
        <v>131</v>
      </c>
      <c r="F289" s="2">
        <v>139</v>
      </c>
      <c r="G289" s="2">
        <v>126</v>
      </c>
      <c r="H289" s="2">
        <v>1</v>
      </c>
      <c r="I289" s="2">
        <v>0</v>
      </c>
      <c r="J289" s="2">
        <f>ABS(F289-E289)</f>
        <v>8</v>
      </c>
      <c r="K289" s="29">
        <f>J289/E289</f>
        <v>6.1068702290076333E-2</v>
      </c>
      <c r="L289" s="2">
        <f>ABS(G289-E289)</f>
        <v>5</v>
      </c>
      <c r="M289" s="50">
        <f>(L289/E289)</f>
        <v>3.8167938931297711E-2</v>
      </c>
      <c r="N289" s="2">
        <v>130</v>
      </c>
      <c r="O289" s="11">
        <f t="shared" si="8"/>
        <v>1</v>
      </c>
      <c r="P289" s="29">
        <f t="shared" si="9"/>
        <v>7.6335877862595417E-3</v>
      </c>
    </row>
    <row r="290" spans="1:16" x14ac:dyDescent="0.35">
      <c r="A290" s="2" t="s">
        <v>48</v>
      </c>
      <c r="B290" s="2" t="s">
        <v>47</v>
      </c>
      <c r="C290" s="2" t="s">
        <v>11</v>
      </c>
      <c r="D290" s="2" t="s">
        <v>12</v>
      </c>
      <c r="E290" s="2">
        <v>174</v>
      </c>
      <c r="F290" s="2">
        <v>194</v>
      </c>
      <c r="G290" s="2">
        <v>179</v>
      </c>
      <c r="H290" s="2">
        <v>0</v>
      </c>
      <c r="I290" s="2">
        <v>0</v>
      </c>
      <c r="J290" s="2">
        <f>ABS(F290-E290)</f>
        <v>20</v>
      </c>
      <c r="K290" s="29">
        <f>J290/E290</f>
        <v>0.11494252873563218</v>
      </c>
      <c r="L290" s="2">
        <f>ABS(G290-E290)</f>
        <v>5</v>
      </c>
      <c r="M290" s="50">
        <f>(L290/E290)</f>
        <v>2.8735632183908046E-2</v>
      </c>
      <c r="N290" s="2">
        <v>176</v>
      </c>
      <c r="O290" s="11">
        <f t="shared" si="8"/>
        <v>2</v>
      </c>
      <c r="P290" s="29">
        <f t="shared" si="9"/>
        <v>1.1494252873563218E-2</v>
      </c>
    </row>
    <row r="291" spans="1:16" x14ac:dyDescent="0.35">
      <c r="A291" s="2" t="s">
        <v>48</v>
      </c>
      <c r="B291" s="2" t="s">
        <v>47</v>
      </c>
      <c r="C291" s="2" t="s">
        <v>11</v>
      </c>
      <c r="D291" s="2" t="s">
        <v>13</v>
      </c>
      <c r="E291" s="2">
        <v>187</v>
      </c>
      <c r="F291" s="2">
        <v>196</v>
      </c>
      <c r="G291" s="2">
        <v>177</v>
      </c>
      <c r="H291" s="2">
        <v>1</v>
      </c>
      <c r="I291" s="2">
        <v>0</v>
      </c>
      <c r="J291" s="2">
        <f>ABS(F291-E291)</f>
        <v>9</v>
      </c>
      <c r="K291" s="29">
        <f>J291/E291</f>
        <v>4.8128342245989303E-2</v>
      </c>
      <c r="L291" s="2">
        <f>ABS(G291-E291)</f>
        <v>10</v>
      </c>
      <c r="M291" s="50">
        <f>(L291/E291)</f>
        <v>5.3475935828877004E-2</v>
      </c>
      <c r="N291" s="2">
        <v>184</v>
      </c>
      <c r="O291" s="11">
        <f t="shared" si="8"/>
        <v>3</v>
      </c>
      <c r="P291" s="29">
        <f t="shared" si="9"/>
        <v>1.6042780748663103E-2</v>
      </c>
    </row>
    <row r="292" spans="1:16" x14ac:dyDescent="0.35">
      <c r="A292" s="2" t="s">
        <v>48</v>
      </c>
      <c r="B292" s="2" t="s">
        <v>47</v>
      </c>
      <c r="C292" s="2" t="s">
        <v>11</v>
      </c>
      <c r="D292" s="2" t="s">
        <v>14</v>
      </c>
      <c r="E292" s="2">
        <v>198</v>
      </c>
      <c r="F292" s="2">
        <v>225</v>
      </c>
      <c r="G292" s="2">
        <v>202</v>
      </c>
      <c r="H292" s="2">
        <v>0</v>
      </c>
      <c r="I292" s="2">
        <v>0</v>
      </c>
      <c r="J292" s="2">
        <f>ABS(F292-E292)</f>
        <v>27</v>
      </c>
      <c r="K292" s="29">
        <f>J292/E292</f>
        <v>0.13636363636363635</v>
      </c>
      <c r="L292" s="2">
        <f>ABS(G292-E292)</f>
        <v>4</v>
      </c>
      <c r="M292" s="50">
        <f>(L292/E292)</f>
        <v>2.0202020202020204E-2</v>
      </c>
      <c r="N292" s="2">
        <v>205</v>
      </c>
      <c r="O292" s="11">
        <f t="shared" si="8"/>
        <v>7</v>
      </c>
      <c r="P292" s="29">
        <f t="shared" si="9"/>
        <v>3.5353535353535352E-2</v>
      </c>
    </row>
    <row r="293" spans="1:16" x14ac:dyDescent="0.35">
      <c r="A293" s="2" t="s">
        <v>48</v>
      </c>
      <c r="B293" s="2" t="s">
        <v>47</v>
      </c>
      <c r="C293" s="2" t="s">
        <v>11</v>
      </c>
      <c r="D293" s="2" t="s">
        <v>15</v>
      </c>
      <c r="E293" s="2">
        <v>210</v>
      </c>
      <c r="F293" s="2">
        <v>216</v>
      </c>
      <c r="G293" s="2">
        <v>201</v>
      </c>
      <c r="H293" s="2">
        <v>1</v>
      </c>
      <c r="I293" s="2">
        <v>0</v>
      </c>
      <c r="J293" s="2">
        <f>ABS(F293-E293)</f>
        <v>6</v>
      </c>
      <c r="K293" s="29">
        <f>J293/E293</f>
        <v>2.8571428571428571E-2</v>
      </c>
      <c r="L293" s="2">
        <f>ABS(G293-E293)</f>
        <v>9</v>
      </c>
      <c r="M293" s="50">
        <f>(L293/E293)</f>
        <v>4.2857142857142858E-2</v>
      </c>
      <c r="N293" s="2">
        <v>195</v>
      </c>
      <c r="O293" s="11">
        <f t="shared" si="8"/>
        <v>15</v>
      </c>
      <c r="P293" s="29">
        <f t="shared" si="9"/>
        <v>7.1428571428571425E-2</v>
      </c>
    </row>
    <row r="294" spans="1:16" x14ac:dyDescent="0.35">
      <c r="A294" s="2" t="s">
        <v>48</v>
      </c>
      <c r="B294" s="2" t="s">
        <v>47</v>
      </c>
      <c r="C294" s="2" t="s">
        <v>11</v>
      </c>
      <c r="D294" s="2" t="s">
        <v>16</v>
      </c>
      <c r="E294" s="2">
        <v>182</v>
      </c>
      <c r="F294" s="2">
        <v>208</v>
      </c>
      <c r="G294" s="2">
        <v>182</v>
      </c>
      <c r="H294" s="2">
        <v>0</v>
      </c>
      <c r="I294" s="2">
        <v>0</v>
      </c>
      <c r="J294" s="2">
        <f>ABS(F294-E294)</f>
        <v>26</v>
      </c>
      <c r="K294" s="29">
        <f>J294/E294</f>
        <v>0.14285714285714285</v>
      </c>
      <c r="L294" s="2">
        <f>ABS(G294-E294)</f>
        <v>0</v>
      </c>
      <c r="M294" s="50">
        <f>(L294/E294)</f>
        <v>0</v>
      </c>
      <c r="N294" s="2">
        <v>191</v>
      </c>
      <c r="O294" s="11">
        <f t="shared" si="8"/>
        <v>9</v>
      </c>
      <c r="P294" s="29">
        <f t="shared" si="9"/>
        <v>4.9450549450549448E-2</v>
      </c>
    </row>
    <row r="295" spans="1:16" x14ac:dyDescent="0.35">
      <c r="A295" s="2" t="s">
        <v>48</v>
      </c>
      <c r="B295" s="2" t="s">
        <v>47</v>
      </c>
      <c r="C295" s="2" t="s">
        <v>11</v>
      </c>
      <c r="D295" s="2" t="s">
        <v>17</v>
      </c>
      <c r="E295" s="2">
        <v>155</v>
      </c>
      <c r="F295" s="2">
        <v>177</v>
      </c>
      <c r="G295" s="2">
        <v>146</v>
      </c>
      <c r="H295" s="2">
        <v>0</v>
      </c>
      <c r="I295" s="2">
        <v>0</v>
      </c>
      <c r="J295" s="2">
        <f>ABS(F295-E295)</f>
        <v>22</v>
      </c>
      <c r="K295" s="29">
        <f>J295/E295</f>
        <v>0.14193548387096774</v>
      </c>
      <c r="L295" s="2">
        <f>ABS(G295-E295)</f>
        <v>9</v>
      </c>
      <c r="M295" s="50">
        <f>(L295/E295)</f>
        <v>5.8064516129032261E-2</v>
      </c>
      <c r="N295" s="2">
        <v>165</v>
      </c>
      <c r="O295" s="11">
        <f t="shared" si="8"/>
        <v>10</v>
      </c>
      <c r="P295" s="29">
        <f t="shared" si="9"/>
        <v>6.4516129032258063E-2</v>
      </c>
    </row>
    <row r="296" spans="1:16" x14ac:dyDescent="0.35">
      <c r="A296" s="2" t="s">
        <v>48</v>
      </c>
      <c r="B296" s="2" t="s">
        <v>47</v>
      </c>
      <c r="C296" s="2" t="s">
        <v>11</v>
      </c>
      <c r="D296" s="2" t="s">
        <v>18</v>
      </c>
      <c r="E296" s="2">
        <v>133</v>
      </c>
      <c r="F296" s="2">
        <v>147</v>
      </c>
      <c r="G296" s="2">
        <v>128</v>
      </c>
      <c r="H296" s="2">
        <v>0</v>
      </c>
      <c r="I296" s="2">
        <v>0</v>
      </c>
      <c r="J296" s="2">
        <f>ABS(F296-E296)</f>
        <v>14</v>
      </c>
      <c r="K296" s="29">
        <f>J296/E296</f>
        <v>0.10526315789473684</v>
      </c>
      <c r="L296" s="2">
        <f>ABS(G296-E296)</f>
        <v>5</v>
      </c>
      <c r="M296" s="50">
        <f>(L296/E296)</f>
        <v>3.7593984962406013E-2</v>
      </c>
      <c r="N296" s="2">
        <v>134</v>
      </c>
      <c r="O296" s="11">
        <f t="shared" si="8"/>
        <v>1</v>
      </c>
      <c r="P296" s="29">
        <f t="shared" si="9"/>
        <v>7.5187969924812026E-3</v>
      </c>
    </row>
    <row r="297" spans="1:16" x14ac:dyDescent="0.35">
      <c r="A297" s="2" t="s">
        <v>48</v>
      </c>
      <c r="B297" s="2" t="s">
        <v>47</v>
      </c>
      <c r="C297" s="2" t="s">
        <v>11</v>
      </c>
      <c r="D297" s="2" t="s">
        <v>19</v>
      </c>
      <c r="E297" s="2">
        <v>124</v>
      </c>
      <c r="F297" s="2">
        <v>143</v>
      </c>
      <c r="G297" s="2">
        <v>120</v>
      </c>
      <c r="H297" s="2">
        <v>0</v>
      </c>
      <c r="I297" s="2">
        <v>0</v>
      </c>
      <c r="J297" s="2">
        <f>ABS(F297-E297)</f>
        <v>19</v>
      </c>
      <c r="K297" s="29">
        <f>J297/E297</f>
        <v>0.15322580645161291</v>
      </c>
      <c r="L297" s="2">
        <f>ABS(G297-E297)</f>
        <v>4</v>
      </c>
      <c r="M297" s="50">
        <f>(L297/E297)</f>
        <v>3.2258064516129031E-2</v>
      </c>
      <c r="N297" s="2">
        <v>127</v>
      </c>
      <c r="O297" s="11">
        <f t="shared" si="8"/>
        <v>3</v>
      </c>
      <c r="P297" s="29">
        <f t="shared" si="9"/>
        <v>2.4193548387096774E-2</v>
      </c>
    </row>
    <row r="298" spans="1:16" x14ac:dyDescent="0.35">
      <c r="A298" s="2" t="s">
        <v>48</v>
      </c>
      <c r="B298" s="2" t="s">
        <v>47</v>
      </c>
      <c r="C298" s="2" t="s">
        <v>11</v>
      </c>
      <c r="D298" s="2" t="s">
        <v>20</v>
      </c>
      <c r="E298" s="2">
        <v>150</v>
      </c>
      <c r="F298" s="2">
        <v>152</v>
      </c>
      <c r="G298" s="2">
        <v>152</v>
      </c>
      <c r="H298" s="2">
        <v>0</v>
      </c>
      <c r="I298" s="2">
        <v>0</v>
      </c>
      <c r="J298" s="2">
        <f>ABS(F298-E298)</f>
        <v>2</v>
      </c>
      <c r="K298" s="29">
        <f>J298/E298</f>
        <v>1.3333333333333334E-2</v>
      </c>
      <c r="L298" s="2">
        <f>ABS(G298-E298)</f>
        <v>2</v>
      </c>
      <c r="M298" s="50">
        <f>(L298/E298)</f>
        <v>1.3333333333333334E-2</v>
      </c>
      <c r="N298" s="2">
        <v>139</v>
      </c>
      <c r="O298" s="11">
        <f t="shared" si="8"/>
        <v>11</v>
      </c>
      <c r="P298" s="29">
        <f t="shared" si="9"/>
        <v>7.3333333333333334E-2</v>
      </c>
    </row>
    <row r="299" spans="1:16" x14ac:dyDescent="0.35">
      <c r="A299" s="2" t="s">
        <v>48</v>
      </c>
      <c r="B299" s="2" t="s">
        <v>47</v>
      </c>
      <c r="C299" s="2" t="s">
        <v>11</v>
      </c>
      <c r="D299" s="2" t="s">
        <v>21</v>
      </c>
      <c r="E299" s="2">
        <v>146</v>
      </c>
      <c r="F299" s="2">
        <v>173</v>
      </c>
      <c r="G299" s="2">
        <v>159</v>
      </c>
      <c r="H299" s="2">
        <v>0</v>
      </c>
      <c r="I299" s="2">
        <v>0</v>
      </c>
      <c r="J299" s="2">
        <f>ABS(F299-E299)</f>
        <v>27</v>
      </c>
      <c r="K299" s="29">
        <f>J299/E299</f>
        <v>0.18493150684931506</v>
      </c>
      <c r="L299" s="2">
        <f>ABS(G299-E299)</f>
        <v>13</v>
      </c>
      <c r="M299" s="50">
        <f>(L299/E299)</f>
        <v>8.9041095890410954E-2</v>
      </c>
      <c r="N299" s="2">
        <v>151</v>
      </c>
      <c r="O299" s="11">
        <f t="shared" si="8"/>
        <v>5</v>
      </c>
      <c r="P299" s="29">
        <f t="shared" si="9"/>
        <v>3.4246575342465752E-2</v>
      </c>
    </row>
    <row r="300" spans="1:16" x14ac:dyDescent="0.35">
      <c r="A300" s="2" t="s">
        <v>48</v>
      </c>
      <c r="B300" s="2" t="s">
        <v>47</v>
      </c>
      <c r="C300" s="2" t="s">
        <v>11</v>
      </c>
      <c r="D300" s="2" t="s">
        <v>22</v>
      </c>
      <c r="E300" s="2">
        <v>159</v>
      </c>
      <c r="F300" s="2">
        <v>177</v>
      </c>
      <c r="G300" s="2">
        <v>172</v>
      </c>
      <c r="H300" s="2">
        <v>0</v>
      </c>
      <c r="I300" s="2">
        <v>0</v>
      </c>
      <c r="J300" s="2">
        <f>ABS(F300-E300)</f>
        <v>18</v>
      </c>
      <c r="K300" s="29">
        <f>J300/E300</f>
        <v>0.11320754716981132</v>
      </c>
      <c r="L300" s="2">
        <f>ABS(G300-E300)</f>
        <v>13</v>
      </c>
      <c r="M300" s="50">
        <f>(L300/E300)</f>
        <v>8.1761006289308172E-2</v>
      </c>
      <c r="N300" s="2">
        <v>162</v>
      </c>
      <c r="O300" s="11">
        <f t="shared" si="8"/>
        <v>3</v>
      </c>
      <c r="P300" s="29">
        <f t="shared" si="9"/>
        <v>1.8867924528301886E-2</v>
      </c>
    </row>
    <row r="301" spans="1:16" x14ac:dyDescent="0.35">
      <c r="A301" s="2" t="s">
        <v>48</v>
      </c>
      <c r="B301" s="2" t="s">
        <v>47</v>
      </c>
      <c r="C301" s="2" t="s">
        <v>11</v>
      </c>
      <c r="D301" s="2" t="s">
        <v>23</v>
      </c>
      <c r="E301" s="2">
        <v>173</v>
      </c>
      <c r="F301" s="2">
        <v>196</v>
      </c>
      <c r="G301" s="2">
        <v>172</v>
      </c>
      <c r="H301" s="2">
        <v>0</v>
      </c>
      <c r="I301" s="2">
        <v>0</v>
      </c>
      <c r="J301" s="2">
        <f>ABS(F301-E301)</f>
        <v>23</v>
      </c>
      <c r="K301" s="29">
        <f>J301/E301</f>
        <v>0.13294797687861271</v>
      </c>
      <c r="L301" s="2">
        <f>ABS(G301-E301)</f>
        <v>1</v>
      </c>
      <c r="M301" s="50">
        <f>(L301/E301)</f>
        <v>5.7803468208092483E-3</v>
      </c>
      <c r="N301" s="2">
        <v>169</v>
      </c>
      <c r="O301" s="11">
        <f t="shared" si="8"/>
        <v>4</v>
      </c>
      <c r="P301" s="29">
        <f t="shared" si="9"/>
        <v>2.3121387283236993E-2</v>
      </c>
    </row>
    <row r="302" spans="1:16" x14ac:dyDescent="0.35">
      <c r="A302" s="2" t="s">
        <v>48</v>
      </c>
      <c r="B302" s="2" t="s">
        <v>47</v>
      </c>
      <c r="C302" s="2" t="s">
        <v>11</v>
      </c>
      <c r="D302" s="2" t="s">
        <v>24</v>
      </c>
      <c r="E302" s="2">
        <v>204</v>
      </c>
      <c r="F302" s="2">
        <v>221</v>
      </c>
      <c r="G302" s="2">
        <v>190</v>
      </c>
      <c r="H302" s="2">
        <v>1</v>
      </c>
      <c r="I302" s="2">
        <v>0</v>
      </c>
      <c r="J302" s="2">
        <f>ABS(F302-E302)</f>
        <v>17</v>
      </c>
      <c r="K302" s="29">
        <f>J302/E302</f>
        <v>8.3333333333333329E-2</v>
      </c>
      <c r="L302" s="2">
        <f>ABS(G302-E302)</f>
        <v>14</v>
      </c>
      <c r="M302" s="50">
        <f>(L302/E302)</f>
        <v>6.8627450980392163E-2</v>
      </c>
      <c r="N302" s="2">
        <v>196</v>
      </c>
      <c r="O302" s="11">
        <f t="shared" si="8"/>
        <v>8</v>
      </c>
      <c r="P302" s="29">
        <f t="shared" si="9"/>
        <v>3.9215686274509803E-2</v>
      </c>
    </row>
    <row r="303" spans="1:16" x14ac:dyDescent="0.35">
      <c r="A303" s="2" t="s">
        <v>48</v>
      </c>
      <c r="B303" s="2" t="s">
        <v>47</v>
      </c>
      <c r="C303" s="2" t="s">
        <v>11</v>
      </c>
      <c r="D303" s="2" t="s">
        <v>25</v>
      </c>
      <c r="E303" s="2">
        <v>172</v>
      </c>
      <c r="F303" s="2">
        <v>201</v>
      </c>
      <c r="G303" s="2">
        <v>165</v>
      </c>
      <c r="H303" s="2">
        <v>0</v>
      </c>
      <c r="I303" s="2">
        <v>0</v>
      </c>
      <c r="J303" s="2">
        <f>ABS(F303-E303)</f>
        <v>29</v>
      </c>
      <c r="K303" s="29">
        <f>J303/E303</f>
        <v>0.16860465116279069</v>
      </c>
      <c r="L303" s="2">
        <f>ABS(G303-E303)</f>
        <v>7</v>
      </c>
      <c r="M303" s="50">
        <f>(L303/E303)</f>
        <v>4.0697674418604654E-2</v>
      </c>
      <c r="N303" s="2">
        <v>185</v>
      </c>
      <c r="O303" s="11">
        <f t="shared" si="8"/>
        <v>13</v>
      </c>
      <c r="P303" s="29">
        <f t="shared" si="9"/>
        <v>7.5581395348837205E-2</v>
      </c>
    </row>
    <row r="304" spans="1:16" x14ac:dyDescent="0.35">
      <c r="A304" s="2" t="s">
        <v>48</v>
      </c>
      <c r="B304" s="2" t="s">
        <v>47</v>
      </c>
      <c r="C304" s="2" t="s">
        <v>11</v>
      </c>
      <c r="D304" s="2" t="s">
        <v>26</v>
      </c>
      <c r="E304" s="2">
        <v>204</v>
      </c>
      <c r="F304" s="2">
        <v>209</v>
      </c>
      <c r="G304" s="2">
        <v>208</v>
      </c>
      <c r="H304" s="2">
        <v>1</v>
      </c>
      <c r="I304" s="2">
        <v>0</v>
      </c>
      <c r="J304" s="2">
        <f>ABS(F304-E304)</f>
        <v>5</v>
      </c>
      <c r="K304" s="29">
        <f>J304/E304</f>
        <v>2.4509803921568627E-2</v>
      </c>
      <c r="L304" s="2">
        <f>ABS(G304-E304)</f>
        <v>4</v>
      </c>
      <c r="M304" s="50">
        <f>(L304/E304)</f>
        <v>1.9607843137254902E-2</v>
      </c>
      <c r="N304" s="2">
        <v>198</v>
      </c>
      <c r="O304" s="11">
        <f t="shared" si="8"/>
        <v>6</v>
      </c>
      <c r="P304" s="29">
        <f t="shared" si="9"/>
        <v>2.9411764705882353E-2</v>
      </c>
    </row>
    <row r="305" spans="1:16" x14ac:dyDescent="0.35">
      <c r="A305" s="2" t="s">
        <v>48</v>
      </c>
      <c r="B305" s="2" t="s">
        <v>47</v>
      </c>
      <c r="C305" s="2" t="s">
        <v>11</v>
      </c>
      <c r="D305" s="2" t="s">
        <v>27</v>
      </c>
      <c r="E305" s="2">
        <v>238</v>
      </c>
      <c r="F305" s="2">
        <v>277</v>
      </c>
      <c r="G305" s="2">
        <v>202</v>
      </c>
      <c r="H305" s="2">
        <v>0</v>
      </c>
      <c r="I305" s="2">
        <v>0</v>
      </c>
      <c r="J305" s="2">
        <f>ABS(F305-E305)</f>
        <v>39</v>
      </c>
      <c r="K305" s="29">
        <f>J305/E305</f>
        <v>0.1638655462184874</v>
      </c>
      <c r="L305" s="2">
        <f>ABS(G305-E305)</f>
        <v>36</v>
      </c>
      <c r="M305" s="50">
        <f>(L305/E305)</f>
        <v>0.15126050420168066</v>
      </c>
      <c r="N305" s="2">
        <v>222</v>
      </c>
      <c r="O305" s="11">
        <f t="shared" si="8"/>
        <v>16</v>
      </c>
      <c r="P305" s="29">
        <f t="shared" si="9"/>
        <v>6.7226890756302518E-2</v>
      </c>
    </row>
    <row r="306" spans="1:16" x14ac:dyDescent="0.35">
      <c r="A306" s="2" t="s">
        <v>48</v>
      </c>
      <c r="B306" s="2" t="s">
        <v>47</v>
      </c>
      <c r="C306" s="2" t="s">
        <v>11</v>
      </c>
      <c r="D306" s="2" t="s">
        <v>28</v>
      </c>
      <c r="E306" s="2">
        <v>207</v>
      </c>
      <c r="F306" s="2">
        <v>221</v>
      </c>
      <c r="G306" s="2">
        <v>230</v>
      </c>
      <c r="H306" s="2">
        <v>0</v>
      </c>
      <c r="I306" s="2">
        <v>0</v>
      </c>
      <c r="J306" s="2">
        <f>ABS(F306-E306)</f>
        <v>14</v>
      </c>
      <c r="K306" s="29">
        <f>J306/E306</f>
        <v>6.7632850241545889E-2</v>
      </c>
      <c r="L306" s="2">
        <f>ABS(G306-E306)</f>
        <v>23</v>
      </c>
      <c r="M306" s="50">
        <f>(L306/E306)</f>
        <v>0.1111111111111111</v>
      </c>
      <c r="N306" s="2">
        <v>200</v>
      </c>
      <c r="O306" s="11">
        <f t="shared" si="8"/>
        <v>7</v>
      </c>
      <c r="P306" s="29">
        <f t="shared" si="9"/>
        <v>3.3816425120772944E-2</v>
      </c>
    </row>
    <row r="307" spans="1:16" x14ac:dyDescent="0.35">
      <c r="A307" s="2" t="s">
        <v>48</v>
      </c>
      <c r="B307" s="2" t="s">
        <v>47</v>
      </c>
      <c r="C307" s="2" t="s">
        <v>11</v>
      </c>
      <c r="D307" s="2" t="s">
        <v>29</v>
      </c>
      <c r="E307" s="2">
        <v>169</v>
      </c>
      <c r="F307" s="2">
        <v>164</v>
      </c>
      <c r="G307" s="2">
        <v>151</v>
      </c>
      <c r="H307" s="2">
        <v>1</v>
      </c>
      <c r="I307" s="2">
        <v>0</v>
      </c>
      <c r="J307" s="2">
        <f>ABS(F307-E307)</f>
        <v>5</v>
      </c>
      <c r="K307" s="29">
        <f>J307/E307</f>
        <v>2.9585798816568046E-2</v>
      </c>
      <c r="L307" s="2">
        <f>ABS(G307-E307)</f>
        <v>18</v>
      </c>
      <c r="M307" s="50">
        <f>(L307/E307)</f>
        <v>0.10650887573964497</v>
      </c>
      <c r="N307" s="2">
        <v>164</v>
      </c>
      <c r="O307" s="11">
        <f t="shared" si="8"/>
        <v>5</v>
      </c>
      <c r="P307" s="29">
        <f t="shared" si="9"/>
        <v>2.9585798816568046E-2</v>
      </c>
    </row>
    <row r="308" spans="1:16" x14ac:dyDescent="0.35">
      <c r="A308" s="2" t="s">
        <v>48</v>
      </c>
      <c r="B308" s="2" t="s">
        <v>47</v>
      </c>
      <c r="C308" s="2" t="s">
        <v>11</v>
      </c>
      <c r="D308" s="2" t="s">
        <v>30</v>
      </c>
      <c r="E308" s="2">
        <v>184</v>
      </c>
      <c r="F308" s="2">
        <v>210</v>
      </c>
      <c r="G308" s="2">
        <v>183</v>
      </c>
      <c r="H308" s="2">
        <v>0</v>
      </c>
      <c r="I308" s="2">
        <v>0</v>
      </c>
      <c r="J308" s="2">
        <f>ABS(F308-E308)</f>
        <v>26</v>
      </c>
      <c r="K308" s="29">
        <f>J308/E308</f>
        <v>0.14130434782608695</v>
      </c>
      <c r="L308" s="2">
        <f>ABS(G308-E308)</f>
        <v>1</v>
      </c>
      <c r="M308" s="50">
        <f>(L308/E308)</f>
        <v>5.434782608695652E-3</v>
      </c>
      <c r="N308" s="2">
        <v>185</v>
      </c>
      <c r="O308" s="11">
        <f t="shared" si="8"/>
        <v>1</v>
      </c>
      <c r="P308" s="29">
        <f t="shared" si="9"/>
        <v>5.434782608695652E-3</v>
      </c>
    </row>
    <row r="309" spans="1:16" x14ac:dyDescent="0.35">
      <c r="A309" s="2" t="s">
        <v>48</v>
      </c>
      <c r="B309" s="2" t="s">
        <v>47</v>
      </c>
      <c r="C309" s="2" t="s">
        <v>11</v>
      </c>
      <c r="D309" s="2" t="s">
        <v>31</v>
      </c>
      <c r="E309" s="2">
        <v>133</v>
      </c>
      <c r="F309" s="2">
        <v>154</v>
      </c>
      <c r="G309" s="2">
        <v>127</v>
      </c>
      <c r="H309" s="2">
        <v>0</v>
      </c>
      <c r="I309" s="2">
        <v>0</v>
      </c>
      <c r="J309" s="2">
        <f>ABS(F309-E309)</f>
        <v>21</v>
      </c>
      <c r="K309" s="29">
        <f>J309/E309</f>
        <v>0.15789473684210525</v>
      </c>
      <c r="L309" s="2">
        <f>ABS(G309-E309)</f>
        <v>6</v>
      </c>
      <c r="M309" s="50">
        <f>(L309/E309)</f>
        <v>4.5112781954887216E-2</v>
      </c>
      <c r="N309" s="2">
        <v>148</v>
      </c>
      <c r="O309" s="11">
        <f t="shared" si="8"/>
        <v>15</v>
      </c>
      <c r="P309" s="29">
        <f t="shared" si="9"/>
        <v>0.11278195488721804</v>
      </c>
    </row>
    <row r="310" spans="1:16" x14ac:dyDescent="0.35">
      <c r="A310" s="2" t="s">
        <v>48</v>
      </c>
      <c r="B310" s="2" t="s">
        <v>47</v>
      </c>
      <c r="C310" s="2" t="s">
        <v>11</v>
      </c>
      <c r="D310" s="2" t="s">
        <v>32</v>
      </c>
      <c r="E310" s="2">
        <v>122</v>
      </c>
      <c r="F310" s="2">
        <v>99</v>
      </c>
      <c r="G310" s="2">
        <v>125</v>
      </c>
      <c r="H310" s="2">
        <v>0</v>
      </c>
      <c r="I310" s="2">
        <v>0</v>
      </c>
      <c r="J310" s="2">
        <f>ABS(F310-E310)</f>
        <v>23</v>
      </c>
      <c r="K310" s="29">
        <f>J310/E310</f>
        <v>0.18852459016393441</v>
      </c>
      <c r="L310" s="2">
        <f>ABS(G310-E310)</f>
        <v>3</v>
      </c>
      <c r="M310" s="50">
        <f>(L310/E310)</f>
        <v>2.4590163934426229E-2</v>
      </c>
      <c r="N310" s="2">
        <v>113</v>
      </c>
      <c r="O310" s="11">
        <f t="shared" si="8"/>
        <v>9</v>
      </c>
      <c r="P310" s="29">
        <f t="shared" si="9"/>
        <v>7.3770491803278687E-2</v>
      </c>
    </row>
    <row r="311" spans="1:16" x14ac:dyDescent="0.35">
      <c r="A311" s="2" t="s">
        <v>48</v>
      </c>
      <c r="B311" s="2" t="s">
        <v>47</v>
      </c>
      <c r="C311" s="2" t="s">
        <v>11</v>
      </c>
      <c r="D311" s="2" t="s">
        <v>33</v>
      </c>
      <c r="E311" s="2">
        <v>123</v>
      </c>
      <c r="F311" s="2">
        <v>143</v>
      </c>
      <c r="G311" s="2">
        <v>138</v>
      </c>
      <c r="H311" s="2">
        <v>1</v>
      </c>
      <c r="I311" s="2">
        <v>0</v>
      </c>
      <c r="J311" s="2">
        <f>ABS(F311-E311)</f>
        <v>20</v>
      </c>
      <c r="K311" s="29">
        <f>J311/E311</f>
        <v>0.16260162601626016</v>
      </c>
      <c r="L311" s="2">
        <f>ABS(G311-E311)</f>
        <v>15</v>
      </c>
      <c r="M311" s="50">
        <f>(L311/E311)</f>
        <v>0.12195121951219512</v>
      </c>
      <c r="N311" s="2">
        <v>124</v>
      </c>
      <c r="O311" s="11">
        <f t="shared" si="8"/>
        <v>1</v>
      </c>
      <c r="P311" s="29">
        <f t="shared" si="9"/>
        <v>8.130081300813009E-3</v>
      </c>
    </row>
    <row r="312" spans="1:16" x14ac:dyDescent="0.35">
      <c r="A312" s="2" t="s">
        <v>48</v>
      </c>
      <c r="B312" s="2" t="s">
        <v>47</v>
      </c>
      <c r="C312" s="2" t="s">
        <v>11</v>
      </c>
      <c r="D312" s="2" t="s">
        <v>34</v>
      </c>
      <c r="E312" s="2">
        <v>161</v>
      </c>
      <c r="F312" s="2">
        <v>182</v>
      </c>
      <c r="G312" s="2">
        <v>170</v>
      </c>
      <c r="H312" s="2">
        <v>0</v>
      </c>
      <c r="I312" s="2">
        <v>0</v>
      </c>
      <c r="J312" s="2">
        <f>ABS(F312-E312)</f>
        <v>21</v>
      </c>
      <c r="K312" s="29">
        <f>J312/E312</f>
        <v>0.13043478260869565</v>
      </c>
      <c r="L312" s="2">
        <f>ABS(G312-E312)</f>
        <v>9</v>
      </c>
      <c r="M312" s="50">
        <f>(L312/E312)</f>
        <v>5.5900621118012424E-2</v>
      </c>
      <c r="N312" s="2">
        <v>158</v>
      </c>
      <c r="O312" s="11">
        <f t="shared" si="8"/>
        <v>3</v>
      </c>
      <c r="P312" s="29">
        <f t="shared" si="9"/>
        <v>1.8633540372670808E-2</v>
      </c>
    </row>
    <row r="313" spans="1:16" x14ac:dyDescent="0.35">
      <c r="A313" s="2" t="s">
        <v>48</v>
      </c>
      <c r="B313" s="2" t="s">
        <v>47</v>
      </c>
      <c r="C313" s="2" t="s">
        <v>11</v>
      </c>
      <c r="D313" s="2" t="s">
        <v>35</v>
      </c>
      <c r="E313" s="2">
        <v>146</v>
      </c>
      <c r="F313" s="2">
        <v>149</v>
      </c>
      <c r="G313" s="2">
        <v>150</v>
      </c>
      <c r="H313" s="2">
        <v>0</v>
      </c>
      <c r="I313" s="2">
        <v>0</v>
      </c>
      <c r="J313" s="2">
        <f>ABS(F313-E313)</f>
        <v>3</v>
      </c>
      <c r="K313" s="29">
        <f>J313/E313</f>
        <v>2.0547945205479451E-2</v>
      </c>
      <c r="L313" s="2">
        <f>ABS(G313-E313)</f>
        <v>4</v>
      </c>
      <c r="M313" s="50">
        <f>(L313/E313)</f>
        <v>2.7397260273972601E-2</v>
      </c>
      <c r="N313" s="2">
        <v>149</v>
      </c>
      <c r="O313" s="11">
        <f t="shared" si="8"/>
        <v>3</v>
      </c>
      <c r="P313" s="29">
        <f t="shared" si="9"/>
        <v>2.0547945205479451E-2</v>
      </c>
    </row>
    <row r="314" spans="1:16" x14ac:dyDescent="0.35">
      <c r="A314" s="2" t="s">
        <v>48</v>
      </c>
      <c r="B314" s="2" t="s">
        <v>47</v>
      </c>
      <c r="C314" s="2" t="s">
        <v>36</v>
      </c>
      <c r="D314" s="2" t="s">
        <v>12</v>
      </c>
      <c r="E314" s="2">
        <v>144</v>
      </c>
      <c r="F314" s="2">
        <v>158</v>
      </c>
      <c r="G314" s="2">
        <v>152</v>
      </c>
      <c r="H314" s="2">
        <v>1</v>
      </c>
      <c r="I314" s="2">
        <v>0</v>
      </c>
      <c r="J314" s="2">
        <f>ABS(F314-E314)</f>
        <v>14</v>
      </c>
      <c r="K314" s="29">
        <f>J314/E314</f>
        <v>9.7222222222222224E-2</v>
      </c>
      <c r="L314" s="2">
        <f>ABS(G314-E314)</f>
        <v>8</v>
      </c>
      <c r="M314" s="50">
        <f>(L314/E314)</f>
        <v>5.5555555555555552E-2</v>
      </c>
      <c r="N314" s="2">
        <v>156</v>
      </c>
      <c r="O314" s="11">
        <f t="shared" si="8"/>
        <v>12</v>
      </c>
      <c r="P314" s="29">
        <f t="shared" si="9"/>
        <v>8.3333333333333329E-2</v>
      </c>
    </row>
    <row r="315" spans="1:16" x14ac:dyDescent="0.35">
      <c r="A315" s="2" t="s">
        <v>48</v>
      </c>
      <c r="B315" s="2" t="s">
        <v>47</v>
      </c>
      <c r="C315" s="2" t="s">
        <v>36</v>
      </c>
      <c r="D315" s="2" t="s">
        <v>13</v>
      </c>
      <c r="E315" s="2">
        <v>191</v>
      </c>
      <c r="F315" s="2">
        <v>191</v>
      </c>
      <c r="G315" s="2">
        <v>201</v>
      </c>
      <c r="H315" s="2">
        <v>1</v>
      </c>
      <c r="I315" s="2">
        <v>0</v>
      </c>
      <c r="J315" s="2">
        <f>ABS(F315-E315)</f>
        <v>0</v>
      </c>
      <c r="K315" s="29">
        <f>J315/E315</f>
        <v>0</v>
      </c>
      <c r="L315" s="2">
        <f>ABS(G315-E315)</f>
        <v>10</v>
      </c>
      <c r="M315" s="50">
        <f>(L315/E315)</f>
        <v>5.2356020942408377E-2</v>
      </c>
      <c r="N315" s="2">
        <v>179</v>
      </c>
      <c r="O315" s="11">
        <f t="shared" si="8"/>
        <v>12</v>
      </c>
      <c r="P315" s="29">
        <f t="shared" si="9"/>
        <v>6.2827225130890049E-2</v>
      </c>
    </row>
    <row r="316" spans="1:16" x14ac:dyDescent="0.35">
      <c r="A316" s="2" t="s">
        <v>48</v>
      </c>
      <c r="B316" s="2" t="s">
        <v>47</v>
      </c>
      <c r="C316" s="2" t="s">
        <v>36</v>
      </c>
      <c r="D316" s="2" t="s">
        <v>14</v>
      </c>
      <c r="E316" s="2">
        <v>209</v>
      </c>
      <c r="F316" s="2">
        <v>205</v>
      </c>
      <c r="G316" s="2">
        <v>222</v>
      </c>
      <c r="H316" s="2">
        <v>0</v>
      </c>
      <c r="I316" s="2">
        <v>0</v>
      </c>
      <c r="J316" s="2">
        <f>ABS(F316-E316)</f>
        <v>4</v>
      </c>
      <c r="K316" s="29">
        <f>J316/E316</f>
        <v>1.9138755980861243E-2</v>
      </c>
      <c r="L316" s="2">
        <f>ABS(G316-E316)</f>
        <v>13</v>
      </c>
      <c r="M316" s="50">
        <f>(L316/E316)</f>
        <v>6.2200956937799042E-2</v>
      </c>
      <c r="N316" s="2">
        <v>199</v>
      </c>
      <c r="O316" s="11">
        <f t="shared" si="8"/>
        <v>10</v>
      </c>
      <c r="P316" s="29">
        <f t="shared" si="9"/>
        <v>4.784688995215311E-2</v>
      </c>
    </row>
    <row r="317" spans="1:16" x14ac:dyDescent="0.35">
      <c r="A317" s="2" t="s">
        <v>48</v>
      </c>
      <c r="B317" s="2" t="s">
        <v>47</v>
      </c>
      <c r="C317" s="2" t="s">
        <v>36</v>
      </c>
      <c r="D317" s="2" t="s">
        <v>15</v>
      </c>
      <c r="E317" s="2">
        <v>175</v>
      </c>
      <c r="F317" s="2">
        <v>162</v>
      </c>
      <c r="G317" s="2">
        <v>173</v>
      </c>
      <c r="H317" s="2">
        <v>0</v>
      </c>
      <c r="I317" s="2">
        <v>0</v>
      </c>
      <c r="J317" s="2">
        <f>ABS(F317-E317)</f>
        <v>13</v>
      </c>
      <c r="K317" s="29">
        <f>J317/E317</f>
        <v>7.4285714285714288E-2</v>
      </c>
      <c r="L317" s="2">
        <f>ABS(G317-E317)</f>
        <v>2</v>
      </c>
      <c r="M317" s="50">
        <f>(L317/E317)</f>
        <v>1.1428571428571429E-2</v>
      </c>
      <c r="N317" s="2">
        <v>175</v>
      </c>
      <c r="O317" s="11">
        <f t="shared" si="8"/>
        <v>0</v>
      </c>
      <c r="P317" s="29">
        <f t="shared" si="9"/>
        <v>0</v>
      </c>
    </row>
    <row r="318" spans="1:16" x14ac:dyDescent="0.35">
      <c r="A318" s="2" t="s">
        <v>48</v>
      </c>
      <c r="B318" s="2" t="s">
        <v>47</v>
      </c>
      <c r="C318" s="2" t="s">
        <v>36</v>
      </c>
      <c r="D318" s="2" t="s">
        <v>16</v>
      </c>
      <c r="E318" s="2">
        <v>176</v>
      </c>
      <c r="F318" s="2">
        <v>158</v>
      </c>
      <c r="G318" s="2">
        <v>183</v>
      </c>
      <c r="H318" s="2">
        <v>0</v>
      </c>
      <c r="I318" s="2">
        <v>0</v>
      </c>
      <c r="J318" s="2">
        <f>ABS(F318-E318)</f>
        <v>18</v>
      </c>
      <c r="K318" s="29">
        <f>J318/E318</f>
        <v>0.10227272727272728</v>
      </c>
      <c r="L318" s="2">
        <f>ABS(G318-E318)</f>
        <v>7</v>
      </c>
      <c r="M318" s="50">
        <f>(L318/E318)</f>
        <v>3.9772727272727272E-2</v>
      </c>
      <c r="N318" s="2">
        <v>167</v>
      </c>
      <c r="O318" s="11">
        <f t="shared" si="8"/>
        <v>9</v>
      </c>
      <c r="P318" s="29">
        <f t="shared" si="9"/>
        <v>5.113636363636364E-2</v>
      </c>
    </row>
    <row r="319" spans="1:16" x14ac:dyDescent="0.35">
      <c r="A319" s="2" t="s">
        <v>48</v>
      </c>
      <c r="B319" s="2" t="s">
        <v>47</v>
      </c>
      <c r="C319" s="2" t="s">
        <v>36</v>
      </c>
      <c r="D319" s="2" t="s">
        <v>17</v>
      </c>
      <c r="E319" s="2">
        <v>166</v>
      </c>
      <c r="F319" s="2">
        <v>169</v>
      </c>
      <c r="G319" s="2">
        <v>161</v>
      </c>
      <c r="H319" s="2">
        <v>1</v>
      </c>
      <c r="I319" s="2">
        <v>0</v>
      </c>
      <c r="J319" s="2">
        <f>ABS(F319-E319)</f>
        <v>3</v>
      </c>
      <c r="K319" s="29">
        <f>J319/E319</f>
        <v>1.8072289156626505E-2</v>
      </c>
      <c r="L319" s="2">
        <f>ABS(G319-E319)</f>
        <v>5</v>
      </c>
      <c r="M319" s="50">
        <f>(L319/E319)</f>
        <v>3.0120481927710843E-2</v>
      </c>
      <c r="N319" s="2">
        <v>161</v>
      </c>
      <c r="O319" s="11">
        <f t="shared" si="8"/>
        <v>5</v>
      </c>
      <c r="P319" s="29">
        <f t="shared" si="9"/>
        <v>3.0120481927710843E-2</v>
      </c>
    </row>
    <row r="320" spans="1:16" x14ac:dyDescent="0.35">
      <c r="A320" s="2" t="s">
        <v>48</v>
      </c>
      <c r="B320" s="2" t="s">
        <v>47</v>
      </c>
      <c r="C320" s="2" t="s">
        <v>36</v>
      </c>
      <c r="D320" s="2" t="s">
        <v>18</v>
      </c>
      <c r="E320" s="2">
        <v>152</v>
      </c>
      <c r="F320" s="2">
        <v>129</v>
      </c>
      <c r="G320" s="2">
        <v>145</v>
      </c>
      <c r="H320" s="2">
        <v>0</v>
      </c>
      <c r="I320" s="2">
        <v>0</v>
      </c>
      <c r="J320" s="2">
        <f>ABS(F320-E320)</f>
        <v>23</v>
      </c>
      <c r="K320" s="29">
        <f>J320/E320</f>
        <v>0.15131578947368421</v>
      </c>
      <c r="L320" s="2">
        <f>ABS(G320-E320)</f>
        <v>7</v>
      </c>
      <c r="M320" s="50">
        <f>(L320/E320)</f>
        <v>4.6052631578947366E-2</v>
      </c>
      <c r="N320" s="2">
        <v>145</v>
      </c>
      <c r="O320" s="11">
        <f t="shared" si="8"/>
        <v>7</v>
      </c>
      <c r="P320" s="29">
        <f t="shared" si="9"/>
        <v>4.6052631578947366E-2</v>
      </c>
    </row>
    <row r="321" spans="1:16" x14ac:dyDescent="0.35">
      <c r="A321" s="2" t="s">
        <v>48</v>
      </c>
      <c r="B321" s="2" t="s">
        <v>47</v>
      </c>
      <c r="C321" s="2" t="s">
        <v>36</v>
      </c>
      <c r="D321" s="2" t="s">
        <v>19</v>
      </c>
      <c r="E321" s="2">
        <v>124</v>
      </c>
      <c r="F321" s="2">
        <v>123</v>
      </c>
      <c r="G321" s="2">
        <v>125</v>
      </c>
      <c r="H321" s="2">
        <v>0</v>
      </c>
      <c r="I321" s="2">
        <v>0</v>
      </c>
      <c r="J321" s="2">
        <f>ABS(F321-E321)</f>
        <v>1</v>
      </c>
      <c r="K321" s="29">
        <f>J321/E321</f>
        <v>8.0645161290322578E-3</v>
      </c>
      <c r="L321" s="2">
        <f>ABS(G321-E321)</f>
        <v>1</v>
      </c>
      <c r="M321" s="50">
        <f>(L321/E321)</f>
        <v>8.0645161290322578E-3</v>
      </c>
      <c r="N321" s="2">
        <v>136</v>
      </c>
      <c r="O321" s="11">
        <f t="shared" si="8"/>
        <v>12</v>
      </c>
      <c r="P321" s="29">
        <f t="shared" si="9"/>
        <v>9.6774193548387094E-2</v>
      </c>
    </row>
    <row r="322" spans="1:16" x14ac:dyDescent="0.35">
      <c r="A322" s="2" t="s">
        <v>48</v>
      </c>
      <c r="B322" s="2" t="s">
        <v>47</v>
      </c>
      <c r="C322" s="2" t="s">
        <v>36</v>
      </c>
      <c r="D322" s="2" t="s">
        <v>20</v>
      </c>
      <c r="E322" s="2">
        <v>127</v>
      </c>
      <c r="F322" s="2">
        <v>115</v>
      </c>
      <c r="G322" s="2">
        <v>126</v>
      </c>
      <c r="H322" s="2">
        <v>1</v>
      </c>
      <c r="I322" s="2">
        <v>0</v>
      </c>
      <c r="J322" s="2">
        <f>ABS(F322-E322)</f>
        <v>12</v>
      </c>
      <c r="K322" s="29">
        <f>J322/E322</f>
        <v>9.4488188976377951E-2</v>
      </c>
      <c r="L322" s="2">
        <f>ABS(G322-E322)</f>
        <v>1</v>
      </c>
      <c r="M322" s="50">
        <f>(L322/E322)</f>
        <v>7.874015748031496E-3</v>
      </c>
      <c r="N322" s="2">
        <v>125</v>
      </c>
      <c r="O322" s="11">
        <f t="shared" si="8"/>
        <v>2</v>
      </c>
      <c r="P322" s="29">
        <f t="shared" si="9"/>
        <v>1.5748031496062992E-2</v>
      </c>
    </row>
    <row r="323" spans="1:16" x14ac:dyDescent="0.35">
      <c r="A323" s="2" t="s">
        <v>48</v>
      </c>
      <c r="B323" s="2" t="s">
        <v>47</v>
      </c>
      <c r="C323" s="2" t="s">
        <v>36</v>
      </c>
      <c r="D323" s="2" t="s">
        <v>21</v>
      </c>
      <c r="E323" s="2">
        <v>139</v>
      </c>
      <c r="F323" s="2">
        <v>133</v>
      </c>
      <c r="G323" s="2">
        <v>144</v>
      </c>
      <c r="H323" s="2">
        <v>0</v>
      </c>
      <c r="I323" s="2">
        <v>0</v>
      </c>
      <c r="J323" s="2">
        <f>ABS(F323-E323)</f>
        <v>6</v>
      </c>
      <c r="K323" s="29">
        <f>J323/E323</f>
        <v>4.3165467625899283E-2</v>
      </c>
      <c r="L323" s="2">
        <f>ABS(G323-E323)</f>
        <v>5</v>
      </c>
      <c r="M323" s="50">
        <f>(L323/E323)</f>
        <v>3.5971223021582732E-2</v>
      </c>
      <c r="N323" s="2">
        <v>137</v>
      </c>
      <c r="O323" s="11">
        <f t="shared" ref="O323:O386" si="10">ABS(N323-E323)</f>
        <v>2</v>
      </c>
      <c r="P323" s="29">
        <f t="shared" ref="P323:P386" si="11">O323/E323</f>
        <v>1.4388489208633094E-2</v>
      </c>
    </row>
    <row r="324" spans="1:16" x14ac:dyDescent="0.35">
      <c r="A324" s="2" t="s">
        <v>48</v>
      </c>
      <c r="B324" s="2" t="s">
        <v>47</v>
      </c>
      <c r="C324" s="2" t="s">
        <v>36</v>
      </c>
      <c r="D324" s="2" t="s">
        <v>22</v>
      </c>
      <c r="E324" s="2">
        <v>148</v>
      </c>
      <c r="F324" s="2">
        <v>110</v>
      </c>
      <c r="G324" s="2">
        <v>157</v>
      </c>
      <c r="H324" s="2">
        <v>0</v>
      </c>
      <c r="I324" s="2">
        <v>0</v>
      </c>
      <c r="J324" s="2">
        <f>ABS(F324-E324)</f>
        <v>38</v>
      </c>
      <c r="K324" s="29">
        <f>J324/E324</f>
        <v>0.25675675675675674</v>
      </c>
      <c r="L324" s="2">
        <f>ABS(G324-E324)</f>
        <v>9</v>
      </c>
      <c r="M324" s="50">
        <f>(L324/E324)</f>
        <v>6.0810810810810814E-2</v>
      </c>
      <c r="N324" s="2">
        <v>133</v>
      </c>
      <c r="O324" s="11">
        <f t="shared" si="10"/>
        <v>15</v>
      </c>
      <c r="P324" s="29">
        <f t="shared" si="11"/>
        <v>0.10135135135135136</v>
      </c>
    </row>
    <row r="325" spans="1:16" x14ac:dyDescent="0.35">
      <c r="A325" s="2" t="s">
        <v>48</v>
      </c>
      <c r="B325" s="2" t="s">
        <v>47</v>
      </c>
      <c r="C325" s="2" t="s">
        <v>36</v>
      </c>
      <c r="D325" s="2" t="s">
        <v>23</v>
      </c>
      <c r="E325" s="2">
        <v>159</v>
      </c>
      <c r="F325" s="2">
        <v>141</v>
      </c>
      <c r="G325" s="2">
        <v>139</v>
      </c>
      <c r="H325" s="2">
        <v>0</v>
      </c>
      <c r="I325" s="2">
        <v>0</v>
      </c>
      <c r="J325" s="2">
        <f>ABS(F325-E325)</f>
        <v>18</v>
      </c>
      <c r="K325" s="29">
        <f>J325/E325</f>
        <v>0.11320754716981132</v>
      </c>
      <c r="L325" s="2">
        <f>ABS(G325-E325)</f>
        <v>20</v>
      </c>
      <c r="M325" s="50">
        <f>(L325/E325)</f>
        <v>0.12578616352201258</v>
      </c>
      <c r="N325" s="2">
        <v>148</v>
      </c>
      <c r="O325" s="11">
        <f t="shared" si="10"/>
        <v>11</v>
      </c>
      <c r="P325" s="29">
        <f t="shared" si="11"/>
        <v>6.9182389937106917E-2</v>
      </c>
    </row>
    <row r="326" spans="1:16" x14ac:dyDescent="0.35">
      <c r="A326" s="2" t="s">
        <v>48</v>
      </c>
      <c r="B326" s="2" t="s">
        <v>47</v>
      </c>
      <c r="C326" s="2" t="s">
        <v>36</v>
      </c>
      <c r="D326" s="2" t="s">
        <v>24</v>
      </c>
      <c r="E326" s="2">
        <v>157</v>
      </c>
      <c r="F326" s="2">
        <v>143</v>
      </c>
      <c r="G326" s="2">
        <v>141</v>
      </c>
      <c r="H326" s="2">
        <v>0</v>
      </c>
      <c r="I326" s="2">
        <v>0</v>
      </c>
      <c r="J326" s="2">
        <f>ABS(F326-E326)</f>
        <v>14</v>
      </c>
      <c r="K326" s="29">
        <f>J326/E326</f>
        <v>8.9171974522292988E-2</v>
      </c>
      <c r="L326" s="2">
        <f>ABS(G326-E326)</f>
        <v>16</v>
      </c>
      <c r="M326" s="50">
        <f>(L326/E326)</f>
        <v>0.10191082802547771</v>
      </c>
      <c r="N326" s="2">
        <v>153</v>
      </c>
      <c r="O326" s="11">
        <f t="shared" si="10"/>
        <v>4</v>
      </c>
      <c r="P326" s="29">
        <f t="shared" si="11"/>
        <v>2.5477707006369428E-2</v>
      </c>
    </row>
    <row r="327" spans="1:16" x14ac:dyDescent="0.35">
      <c r="A327" s="2" t="s">
        <v>48</v>
      </c>
      <c r="B327" s="2" t="s">
        <v>47</v>
      </c>
      <c r="C327" s="2" t="s">
        <v>36</v>
      </c>
      <c r="D327" s="2" t="s">
        <v>25</v>
      </c>
      <c r="E327" s="2">
        <v>175</v>
      </c>
      <c r="F327" s="2">
        <v>183</v>
      </c>
      <c r="G327" s="2">
        <v>174</v>
      </c>
      <c r="H327" s="2">
        <v>0</v>
      </c>
      <c r="I327" s="2">
        <v>0</v>
      </c>
      <c r="J327" s="2">
        <f>ABS(F327-E327)</f>
        <v>8</v>
      </c>
      <c r="K327" s="29">
        <f>J327/E327</f>
        <v>4.5714285714285714E-2</v>
      </c>
      <c r="L327" s="2">
        <f>ABS(G327-E327)</f>
        <v>1</v>
      </c>
      <c r="M327" s="50">
        <f>(L327/E327)</f>
        <v>5.7142857142857143E-3</v>
      </c>
      <c r="N327" s="2">
        <v>180</v>
      </c>
      <c r="O327" s="11">
        <f t="shared" si="10"/>
        <v>5</v>
      </c>
      <c r="P327" s="29">
        <f t="shared" si="11"/>
        <v>2.8571428571428571E-2</v>
      </c>
    </row>
    <row r="328" spans="1:16" x14ac:dyDescent="0.35">
      <c r="A328" s="2" t="s">
        <v>48</v>
      </c>
      <c r="B328" s="2" t="s">
        <v>47</v>
      </c>
      <c r="C328" s="2" t="s">
        <v>36</v>
      </c>
      <c r="D328" s="2" t="s">
        <v>26</v>
      </c>
      <c r="E328" s="2">
        <v>212</v>
      </c>
      <c r="F328" s="2">
        <v>181</v>
      </c>
      <c r="G328" s="2">
        <v>203</v>
      </c>
      <c r="H328" s="2">
        <v>0</v>
      </c>
      <c r="I328" s="2">
        <v>0</v>
      </c>
      <c r="J328" s="2">
        <f>ABS(F328-E328)</f>
        <v>31</v>
      </c>
      <c r="K328" s="29">
        <f>J328/E328</f>
        <v>0.14622641509433962</v>
      </c>
      <c r="L328" s="2">
        <f>ABS(G328-E328)</f>
        <v>9</v>
      </c>
      <c r="M328" s="50">
        <f>(L328/E328)</f>
        <v>4.2452830188679243E-2</v>
      </c>
      <c r="N328" s="2">
        <v>186</v>
      </c>
      <c r="O328" s="11">
        <f t="shared" si="10"/>
        <v>26</v>
      </c>
      <c r="P328" s="29">
        <f t="shared" si="11"/>
        <v>0.12264150943396226</v>
      </c>
    </row>
    <row r="329" spans="1:16" x14ac:dyDescent="0.35">
      <c r="A329" s="2" t="s">
        <v>48</v>
      </c>
      <c r="B329" s="2" t="s">
        <v>47</v>
      </c>
      <c r="C329" s="2" t="s">
        <v>36</v>
      </c>
      <c r="D329" s="2" t="s">
        <v>27</v>
      </c>
      <c r="E329" s="2">
        <v>189</v>
      </c>
      <c r="F329" s="2">
        <v>170</v>
      </c>
      <c r="G329" s="2">
        <v>201</v>
      </c>
      <c r="H329" s="2">
        <v>0</v>
      </c>
      <c r="I329" s="2">
        <v>0</v>
      </c>
      <c r="J329" s="2">
        <f>ABS(F329-E329)</f>
        <v>19</v>
      </c>
      <c r="K329" s="29">
        <f>J329/E329</f>
        <v>0.10052910052910052</v>
      </c>
      <c r="L329" s="2">
        <f>ABS(G329-E329)</f>
        <v>12</v>
      </c>
      <c r="M329" s="50">
        <f>(L329/E329)</f>
        <v>6.3492063492063489E-2</v>
      </c>
      <c r="N329" s="2">
        <v>178</v>
      </c>
      <c r="O329" s="11">
        <f t="shared" si="10"/>
        <v>11</v>
      </c>
      <c r="P329" s="29">
        <f t="shared" si="11"/>
        <v>5.8201058201058198E-2</v>
      </c>
    </row>
    <row r="330" spans="1:16" x14ac:dyDescent="0.35">
      <c r="A330" s="2" t="s">
        <v>48</v>
      </c>
      <c r="B330" s="2" t="s">
        <v>47</v>
      </c>
      <c r="C330" s="2" t="s">
        <v>36</v>
      </c>
      <c r="D330" s="2" t="s">
        <v>28</v>
      </c>
      <c r="E330" s="2">
        <v>183</v>
      </c>
      <c r="F330" s="2">
        <v>190</v>
      </c>
      <c r="G330" s="2">
        <v>176</v>
      </c>
      <c r="H330" s="2">
        <v>1</v>
      </c>
      <c r="I330" s="2">
        <v>0</v>
      </c>
      <c r="J330" s="2">
        <f>ABS(F330-E330)</f>
        <v>7</v>
      </c>
      <c r="K330" s="29">
        <f>J330/E330</f>
        <v>3.825136612021858E-2</v>
      </c>
      <c r="L330" s="2">
        <f>ABS(G330-E330)</f>
        <v>7</v>
      </c>
      <c r="M330" s="50">
        <f>(L330/E330)</f>
        <v>3.825136612021858E-2</v>
      </c>
      <c r="N330" s="2">
        <v>181</v>
      </c>
      <c r="O330" s="11">
        <f t="shared" si="10"/>
        <v>2</v>
      </c>
      <c r="P330" s="29">
        <f t="shared" si="11"/>
        <v>1.092896174863388E-2</v>
      </c>
    </row>
    <row r="331" spans="1:16" x14ac:dyDescent="0.35">
      <c r="A331" s="2" t="s">
        <v>48</v>
      </c>
      <c r="B331" s="2" t="s">
        <v>47</v>
      </c>
      <c r="C331" s="2" t="s">
        <v>36</v>
      </c>
      <c r="D331" s="2" t="s">
        <v>29</v>
      </c>
      <c r="E331" s="2">
        <v>172</v>
      </c>
      <c r="F331" s="2">
        <v>147</v>
      </c>
      <c r="G331" s="2">
        <v>165</v>
      </c>
      <c r="H331" s="2">
        <v>0</v>
      </c>
      <c r="I331" s="2">
        <v>0</v>
      </c>
      <c r="J331" s="2">
        <f>ABS(F331-E331)</f>
        <v>25</v>
      </c>
      <c r="K331" s="29">
        <f>J331/E331</f>
        <v>0.14534883720930233</v>
      </c>
      <c r="L331" s="2">
        <f>ABS(G331-E331)</f>
        <v>7</v>
      </c>
      <c r="M331" s="50">
        <f>(L331/E331)</f>
        <v>4.0697674418604654E-2</v>
      </c>
      <c r="N331" s="2">
        <v>159</v>
      </c>
      <c r="O331" s="11">
        <f t="shared" si="10"/>
        <v>13</v>
      </c>
      <c r="P331" s="29">
        <f t="shared" si="11"/>
        <v>7.5581395348837205E-2</v>
      </c>
    </row>
    <row r="332" spans="1:16" x14ac:dyDescent="0.35">
      <c r="A332" s="2" t="s">
        <v>48</v>
      </c>
      <c r="B332" s="2" t="s">
        <v>47</v>
      </c>
      <c r="C332" s="2" t="s">
        <v>36</v>
      </c>
      <c r="D332" s="2" t="s">
        <v>30</v>
      </c>
      <c r="E332" s="2">
        <v>126</v>
      </c>
      <c r="F332" s="2">
        <v>104</v>
      </c>
      <c r="G332" s="2">
        <v>131</v>
      </c>
      <c r="H332" s="2">
        <v>0</v>
      </c>
      <c r="I332" s="2">
        <v>0</v>
      </c>
      <c r="J332" s="2">
        <f>ABS(F332-E332)</f>
        <v>22</v>
      </c>
      <c r="K332" s="29">
        <f>J332/E332</f>
        <v>0.17460317460317459</v>
      </c>
      <c r="L332" s="2">
        <f>ABS(G332-E332)</f>
        <v>5</v>
      </c>
      <c r="M332" s="50">
        <f>(L332/E332)</f>
        <v>3.968253968253968E-2</v>
      </c>
      <c r="N332" s="2">
        <v>119</v>
      </c>
      <c r="O332" s="11">
        <f t="shared" si="10"/>
        <v>7</v>
      </c>
      <c r="P332" s="29">
        <f t="shared" si="11"/>
        <v>5.5555555555555552E-2</v>
      </c>
    </row>
    <row r="333" spans="1:16" x14ac:dyDescent="0.35">
      <c r="A333" s="2" t="s">
        <v>48</v>
      </c>
      <c r="B333" s="2" t="s">
        <v>47</v>
      </c>
      <c r="C333" s="2" t="s">
        <v>36</v>
      </c>
      <c r="D333" s="2" t="s">
        <v>31</v>
      </c>
      <c r="E333" s="2">
        <v>119</v>
      </c>
      <c r="F333" s="2">
        <v>110</v>
      </c>
      <c r="G333" s="2">
        <v>121</v>
      </c>
      <c r="H333" s="2">
        <v>0</v>
      </c>
      <c r="I333" s="2">
        <v>0</v>
      </c>
      <c r="J333" s="2">
        <f>ABS(F333-E333)</f>
        <v>9</v>
      </c>
      <c r="K333" s="29">
        <f>J333/E333</f>
        <v>7.5630252100840331E-2</v>
      </c>
      <c r="L333" s="2">
        <f>ABS(G333-E333)</f>
        <v>2</v>
      </c>
      <c r="M333" s="50">
        <f>(L333/E333)</f>
        <v>1.680672268907563E-2</v>
      </c>
      <c r="N333" s="2">
        <v>122</v>
      </c>
      <c r="O333" s="11">
        <f t="shared" si="10"/>
        <v>3</v>
      </c>
      <c r="P333" s="29">
        <f t="shared" si="11"/>
        <v>2.5210084033613446E-2</v>
      </c>
    </row>
    <row r="334" spans="1:16" x14ac:dyDescent="0.35">
      <c r="A334" s="2" t="s">
        <v>48</v>
      </c>
      <c r="B334" s="2" t="s">
        <v>47</v>
      </c>
      <c r="C334" s="2" t="s">
        <v>36</v>
      </c>
      <c r="D334" s="2" t="s">
        <v>32</v>
      </c>
      <c r="E334" s="2">
        <v>129</v>
      </c>
      <c r="F334" s="2">
        <v>118</v>
      </c>
      <c r="G334" s="2">
        <v>117</v>
      </c>
      <c r="H334" s="2">
        <v>0</v>
      </c>
      <c r="I334" s="2">
        <v>0</v>
      </c>
      <c r="J334" s="2">
        <f>ABS(F334-E334)</f>
        <v>11</v>
      </c>
      <c r="K334" s="29">
        <f>J334/E334</f>
        <v>8.5271317829457363E-2</v>
      </c>
      <c r="L334" s="2">
        <f>ABS(G334-E334)</f>
        <v>12</v>
      </c>
      <c r="M334" s="50">
        <f>(L334/E334)</f>
        <v>9.3023255813953487E-2</v>
      </c>
      <c r="N334" s="2">
        <v>129</v>
      </c>
      <c r="O334" s="11">
        <f t="shared" si="10"/>
        <v>0</v>
      </c>
      <c r="P334" s="29">
        <f t="shared" si="11"/>
        <v>0</v>
      </c>
    </row>
    <row r="335" spans="1:16" x14ac:dyDescent="0.35">
      <c r="A335" s="2" t="s">
        <v>48</v>
      </c>
      <c r="B335" s="2" t="s">
        <v>47</v>
      </c>
      <c r="C335" s="2" t="s">
        <v>36</v>
      </c>
      <c r="D335" s="2" t="s">
        <v>33</v>
      </c>
      <c r="E335" s="2">
        <v>131</v>
      </c>
      <c r="F335" s="2">
        <v>109</v>
      </c>
      <c r="G335" s="2">
        <v>133</v>
      </c>
      <c r="H335" s="2">
        <v>0</v>
      </c>
      <c r="I335" s="2">
        <v>0</v>
      </c>
      <c r="J335" s="2">
        <f>ABS(F335-E335)</f>
        <v>22</v>
      </c>
      <c r="K335" s="29">
        <f>J335/E335</f>
        <v>0.16793893129770993</v>
      </c>
      <c r="L335" s="2">
        <f>ABS(G335-E335)</f>
        <v>2</v>
      </c>
      <c r="M335" s="50">
        <f>(L335/E335)</f>
        <v>1.5267175572519083E-2</v>
      </c>
      <c r="N335" s="2">
        <v>125</v>
      </c>
      <c r="O335" s="11">
        <f t="shared" si="10"/>
        <v>6</v>
      </c>
      <c r="P335" s="29">
        <f t="shared" si="11"/>
        <v>4.5801526717557252E-2</v>
      </c>
    </row>
    <row r="336" spans="1:16" x14ac:dyDescent="0.35">
      <c r="A336" s="2" t="s">
        <v>48</v>
      </c>
      <c r="B336" s="2" t="s">
        <v>47</v>
      </c>
      <c r="C336" s="2" t="s">
        <v>36</v>
      </c>
      <c r="D336" s="2" t="s">
        <v>34</v>
      </c>
      <c r="E336" s="2">
        <v>130</v>
      </c>
      <c r="F336" s="2">
        <v>136</v>
      </c>
      <c r="G336" s="2">
        <v>130</v>
      </c>
      <c r="H336" s="2">
        <v>1</v>
      </c>
      <c r="I336" s="2">
        <v>0</v>
      </c>
      <c r="J336" s="2">
        <f>ABS(F336-E336)</f>
        <v>6</v>
      </c>
      <c r="K336" s="29">
        <f>J336/E336</f>
        <v>4.6153846153846156E-2</v>
      </c>
      <c r="L336" s="2">
        <f>ABS(G336-E336)</f>
        <v>0</v>
      </c>
      <c r="M336" s="50">
        <f>(L336/E336)</f>
        <v>0</v>
      </c>
      <c r="N336" s="2">
        <v>135</v>
      </c>
      <c r="O336" s="11">
        <f t="shared" si="10"/>
        <v>5</v>
      </c>
      <c r="P336" s="29">
        <f t="shared" si="11"/>
        <v>3.8461538461538464E-2</v>
      </c>
    </row>
    <row r="337" spans="1:16" x14ac:dyDescent="0.35">
      <c r="A337" s="2" t="s">
        <v>48</v>
      </c>
      <c r="B337" s="2" t="s">
        <v>47</v>
      </c>
      <c r="C337" s="2" t="s">
        <v>36</v>
      </c>
      <c r="D337" s="2" t="s">
        <v>35</v>
      </c>
      <c r="E337" s="2">
        <v>83</v>
      </c>
      <c r="F337" s="2">
        <v>82</v>
      </c>
      <c r="G337" s="2">
        <v>83</v>
      </c>
      <c r="H337" s="2">
        <v>0</v>
      </c>
      <c r="I337" s="2">
        <v>1</v>
      </c>
      <c r="J337" s="2">
        <f>ABS(F337-E337)</f>
        <v>1</v>
      </c>
      <c r="K337" s="29">
        <f>J337/E337</f>
        <v>1.2048192771084338E-2</v>
      </c>
      <c r="L337" s="2">
        <f>ABS(G337-E337)</f>
        <v>0</v>
      </c>
      <c r="M337" s="50">
        <f>(L337/E337)</f>
        <v>0</v>
      </c>
      <c r="N337" s="2">
        <v>78</v>
      </c>
      <c r="O337" s="11">
        <f t="shared" si="10"/>
        <v>5</v>
      </c>
      <c r="P337" s="29">
        <f t="shared" si="11"/>
        <v>6.0240963855421686E-2</v>
      </c>
    </row>
    <row r="338" spans="1:16" x14ac:dyDescent="0.35">
      <c r="A338" s="2" t="s">
        <v>48</v>
      </c>
      <c r="B338" s="2" t="s">
        <v>47</v>
      </c>
      <c r="C338" s="2" t="s">
        <v>37</v>
      </c>
      <c r="D338" s="2" t="s">
        <v>12</v>
      </c>
      <c r="E338" s="2">
        <v>29</v>
      </c>
      <c r="F338" s="2">
        <v>29</v>
      </c>
      <c r="G338" s="2">
        <v>29</v>
      </c>
      <c r="H338" s="2">
        <v>0</v>
      </c>
      <c r="I338" s="2">
        <v>1</v>
      </c>
      <c r="J338" s="2">
        <f>ABS(F338-E338)</f>
        <v>0</v>
      </c>
      <c r="K338" s="29">
        <f>J338/E338</f>
        <v>0</v>
      </c>
      <c r="L338" s="2">
        <f>ABS(G338-E338)</f>
        <v>0</v>
      </c>
      <c r="M338" s="50">
        <f>(L338/E338)</f>
        <v>0</v>
      </c>
      <c r="N338" s="2">
        <v>36</v>
      </c>
      <c r="O338" s="11">
        <f t="shared" si="10"/>
        <v>7</v>
      </c>
      <c r="P338" s="29">
        <f t="shared" si="11"/>
        <v>0.2413793103448276</v>
      </c>
    </row>
    <row r="339" spans="1:16" x14ac:dyDescent="0.35">
      <c r="A339" s="2" t="s">
        <v>48</v>
      </c>
      <c r="B339" s="2" t="s">
        <v>47</v>
      </c>
      <c r="C339" s="2" t="s">
        <v>37</v>
      </c>
      <c r="D339" s="2" t="s">
        <v>13</v>
      </c>
      <c r="E339" s="2">
        <v>66</v>
      </c>
      <c r="F339" s="2">
        <v>68</v>
      </c>
      <c r="G339" s="2">
        <v>58</v>
      </c>
      <c r="H339" s="2">
        <v>0</v>
      </c>
      <c r="I339" s="2">
        <v>0</v>
      </c>
      <c r="J339" s="2">
        <f>ABS(F339-E339)</f>
        <v>2</v>
      </c>
      <c r="K339" s="29">
        <f>J339/E339</f>
        <v>3.0303030303030304E-2</v>
      </c>
      <c r="L339" s="2">
        <f>ABS(G339-E339)</f>
        <v>8</v>
      </c>
      <c r="M339" s="50">
        <f>(L339/E339)</f>
        <v>0.12121212121212122</v>
      </c>
      <c r="N339" s="2">
        <v>66</v>
      </c>
      <c r="O339" s="11">
        <f t="shared" si="10"/>
        <v>0</v>
      </c>
      <c r="P339" s="29">
        <f t="shared" si="11"/>
        <v>0</v>
      </c>
    </row>
    <row r="340" spans="1:16" x14ac:dyDescent="0.35">
      <c r="A340" s="2" t="s">
        <v>48</v>
      </c>
      <c r="B340" s="2" t="s">
        <v>47</v>
      </c>
      <c r="C340" s="2" t="s">
        <v>37</v>
      </c>
      <c r="D340" s="2" t="s">
        <v>14</v>
      </c>
      <c r="E340" s="2">
        <v>59</v>
      </c>
      <c r="F340" s="2">
        <v>51</v>
      </c>
      <c r="G340" s="2">
        <v>53</v>
      </c>
      <c r="H340" s="2">
        <v>0</v>
      </c>
      <c r="I340" s="2">
        <v>0</v>
      </c>
      <c r="J340" s="2">
        <f>ABS(F340-E340)</f>
        <v>8</v>
      </c>
      <c r="K340" s="29">
        <f>J340/E340</f>
        <v>0.13559322033898305</v>
      </c>
      <c r="L340" s="2">
        <f>ABS(G340-E340)</f>
        <v>6</v>
      </c>
      <c r="M340" s="50">
        <f>(L340/E340)</f>
        <v>0.10169491525423729</v>
      </c>
      <c r="N340" s="2">
        <v>56</v>
      </c>
      <c r="O340" s="11">
        <f t="shared" si="10"/>
        <v>3</v>
      </c>
      <c r="P340" s="29">
        <f t="shared" si="11"/>
        <v>5.0847457627118647E-2</v>
      </c>
    </row>
    <row r="341" spans="1:16" x14ac:dyDescent="0.35">
      <c r="A341" s="2" t="s">
        <v>48</v>
      </c>
      <c r="B341" s="2" t="s">
        <v>47</v>
      </c>
      <c r="C341" s="2" t="s">
        <v>37</v>
      </c>
      <c r="D341" s="2" t="s">
        <v>15</v>
      </c>
      <c r="E341" s="2">
        <v>56</v>
      </c>
      <c r="F341" s="2">
        <v>55</v>
      </c>
      <c r="G341" s="2">
        <v>56</v>
      </c>
      <c r="H341" s="2">
        <v>0</v>
      </c>
      <c r="I341" s="2">
        <v>0</v>
      </c>
      <c r="J341" s="2">
        <f>ABS(F341-E341)</f>
        <v>1</v>
      </c>
      <c r="K341" s="29">
        <f>J341/E341</f>
        <v>1.7857142857142856E-2</v>
      </c>
      <c r="L341" s="2">
        <f>ABS(G341-E341)</f>
        <v>0</v>
      </c>
      <c r="M341" s="50">
        <f>(L341/E341)</f>
        <v>0</v>
      </c>
      <c r="N341" s="2">
        <v>57</v>
      </c>
      <c r="O341" s="11">
        <f t="shared" si="10"/>
        <v>1</v>
      </c>
      <c r="P341" s="29">
        <f t="shared" si="11"/>
        <v>1.7857142857142856E-2</v>
      </c>
    </row>
    <row r="342" spans="1:16" x14ac:dyDescent="0.35">
      <c r="A342" s="2" t="s">
        <v>48</v>
      </c>
      <c r="B342" s="2" t="s">
        <v>47</v>
      </c>
      <c r="C342" s="2" t="s">
        <v>37</v>
      </c>
      <c r="D342" s="2" t="s">
        <v>16</v>
      </c>
      <c r="E342" s="2">
        <v>32</v>
      </c>
      <c r="F342" s="2">
        <v>33</v>
      </c>
      <c r="G342" s="2">
        <v>31</v>
      </c>
      <c r="H342" s="2">
        <v>1</v>
      </c>
      <c r="I342" s="2">
        <v>1</v>
      </c>
      <c r="J342" s="2">
        <f>ABS(F342-E342)</f>
        <v>1</v>
      </c>
      <c r="K342" s="29">
        <f>J342/E342</f>
        <v>3.125E-2</v>
      </c>
      <c r="L342" s="2">
        <f>ABS(G342-E342)</f>
        <v>1</v>
      </c>
      <c r="M342" s="50">
        <f>(L342/E342)</f>
        <v>3.125E-2</v>
      </c>
      <c r="N342" s="2">
        <v>34</v>
      </c>
      <c r="O342" s="11">
        <f t="shared" si="10"/>
        <v>2</v>
      </c>
      <c r="P342" s="29">
        <f t="shared" si="11"/>
        <v>6.25E-2</v>
      </c>
    </row>
    <row r="343" spans="1:16" x14ac:dyDescent="0.35">
      <c r="A343" s="2" t="s">
        <v>48</v>
      </c>
      <c r="B343" s="2" t="s">
        <v>47</v>
      </c>
      <c r="C343" s="2" t="s">
        <v>37</v>
      </c>
      <c r="D343" s="2" t="s">
        <v>17</v>
      </c>
      <c r="E343" s="2">
        <v>49</v>
      </c>
      <c r="F343" s="2">
        <v>42</v>
      </c>
      <c r="G343" s="2">
        <v>46</v>
      </c>
      <c r="H343" s="2">
        <v>0</v>
      </c>
      <c r="I343" s="2">
        <v>0</v>
      </c>
      <c r="J343" s="2">
        <f>ABS(F343-E343)</f>
        <v>7</v>
      </c>
      <c r="K343" s="29">
        <f>J343/E343</f>
        <v>0.14285714285714285</v>
      </c>
      <c r="L343" s="2">
        <f>ABS(G343-E343)</f>
        <v>3</v>
      </c>
      <c r="M343" s="50">
        <f>(L343/E343)</f>
        <v>6.1224489795918366E-2</v>
      </c>
      <c r="N343" s="2">
        <v>40</v>
      </c>
      <c r="O343" s="11">
        <f t="shared" si="10"/>
        <v>9</v>
      </c>
      <c r="P343" s="29">
        <f t="shared" si="11"/>
        <v>0.18367346938775511</v>
      </c>
    </row>
    <row r="344" spans="1:16" x14ac:dyDescent="0.35">
      <c r="A344" s="2" t="s">
        <v>48</v>
      </c>
      <c r="B344" s="2" t="s">
        <v>47</v>
      </c>
      <c r="C344" s="2" t="s">
        <v>37</v>
      </c>
      <c r="D344" s="2" t="s">
        <v>18</v>
      </c>
      <c r="E344" s="2">
        <v>52</v>
      </c>
      <c r="F344" s="2">
        <v>50</v>
      </c>
      <c r="G344" s="2">
        <v>57</v>
      </c>
      <c r="H344" s="2">
        <v>0</v>
      </c>
      <c r="I344" s="2">
        <v>0</v>
      </c>
      <c r="J344" s="2">
        <f>ABS(F344-E344)</f>
        <v>2</v>
      </c>
      <c r="K344" s="29">
        <f>J344/E344</f>
        <v>3.8461538461538464E-2</v>
      </c>
      <c r="L344" s="2">
        <f>ABS(G344-E344)</f>
        <v>5</v>
      </c>
      <c r="M344" s="50">
        <f>(L344/E344)</f>
        <v>9.6153846153846159E-2</v>
      </c>
      <c r="N344" s="2">
        <v>52</v>
      </c>
      <c r="O344" s="11">
        <f t="shared" si="10"/>
        <v>0</v>
      </c>
      <c r="P344" s="29">
        <f t="shared" si="11"/>
        <v>0</v>
      </c>
    </row>
    <row r="345" spans="1:16" x14ac:dyDescent="0.35">
      <c r="A345" s="2" t="s">
        <v>48</v>
      </c>
      <c r="B345" s="2" t="s">
        <v>47</v>
      </c>
      <c r="C345" s="2" t="s">
        <v>37</v>
      </c>
      <c r="D345" s="2" t="s">
        <v>19</v>
      </c>
      <c r="E345" s="2">
        <v>51</v>
      </c>
      <c r="F345" s="2">
        <v>58</v>
      </c>
      <c r="G345" s="2">
        <v>49</v>
      </c>
      <c r="H345" s="2">
        <v>1</v>
      </c>
      <c r="I345" s="2">
        <v>0</v>
      </c>
      <c r="J345" s="2">
        <f>ABS(F345-E345)</f>
        <v>7</v>
      </c>
      <c r="K345" s="29">
        <f>J345/E345</f>
        <v>0.13725490196078433</v>
      </c>
      <c r="L345" s="2">
        <f>ABS(G345-E345)</f>
        <v>2</v>
      </c>
      <c r="M345" s="50">
        <f>(L345/E345)</f>
        <v>3.9215686274509803E-2</v>
      </c>
      <c r="N345" s="2">
        <v>55</v>
      </c>
      <c r="O345" s="11">
        <f t="shared" si="10"/>
        <v>4</v>
      </c>
      <c r="P345" s="29">
        <f t="shared" si="11"/>
        <v>7.8431372549019607E-2</v>
      </c>
    </row>
    <row r="346" spans="1:16" x14ac:dyDescent="0.35">
      <c r="A346" s="2" t="s">
        <v>48</v>
      </c>
      <c r="B346" s="2" t="s">
        <v>47</v>
      </c>
      <c r="C346" s="2" t="s">
        <v>37</v>
      </c>
      <c r="D346" s="2" t="s">
        <v>20</v>
      </c>
      <c r="E346" s="2">
        <v>48</v>
      </c>
      <c r="F346" s="2">
        <v>50</v>
      </c>
      <c r="G346" s="2">
        <v>44</v>
      </c>
      <c r="H346" s="2">
        <v>0</v>
      </c>
      <c r="I346" s="2">
        <v>0</v>
      </c>
      <c r="J346" s="2">
        <f>ABS(F346-E346)</f>
        <v>2</v>
      </c>
      <c r="K346" s="29">
        <f>J346/E346</f>
        <v>4.1666666666666664E-2</v>
      </c>
      <c r="L346" s="2">
        <f>ABS(G346-E346)</f>
        <v>4</v>
      </c>
      <c r="M346" s="50">
        <f>(L346/E346)</f>
        <v>8.3333333333333329E-2</v>
      </c>
      <c r="N346" s="2">
        <v>52</v>
      </c>
      <c r="O346" s="11">
        <f t="shared" si="10"/>
        <v>4</v>
      </c>
      <c r="P346" s="29">
        <f t="shared" si="11"/>
        <v>8.3333333333333329E-2</v>
      </c>
    </row>
    <row r="347" spans="1:16" x14ac:dyDescent="0.35">
      <c r="A347" s="2" t="s">
        <v>48</v>
      </c>
      <c r="B347" s="2" t="s">
        <v>47</v>
      </c>
      <c r="C347" s="2" t="s">
        <v>37</v>
      </c>
      <c r="D347" s="2" t="s">
        <v>21</v>
      </c>
      <c r="E347" s="2">
        <v>42</v>
      </c>
      <c r="F347" s="2">
        <v>51</v>
      </c>
      <c r="G347" s="2">
        <v>39</v>
      </c>
      <c r="H347" s="2">
        <v>0</v>
      </c>
      <c r="I347" s="2">
        <v>0</v>
      </c>
      <c r="J347" s="2">
        <f>ABS(F347-E347)</f>
        <v>9</v>
      </c>
      <c r="K347" s="29">
        <f>J347/E347</f>
        <v>0.21428571428571427</v>
      </c>
      <c r="L347" s="2">
        <f>ABS(G347-E347)</f>
        <v>3</v>
      </c>
      <c r="M347" s="50">
        <f>(L347/E347)</f>
        <v>7.1428571428571425E-2</v>
      </c>
      <c r="N347" s="2">
        <v>51</v>
      </c>
      <c r="O347" s="11">
        <f t="shared" si="10"/>
        <v>9</v>
      </c>
      <c r="P347" s="29">
        <f t="shared" si="11"/>
        <v>0.21428571428571427</v>
      </c>
    </row>
    <row r="348" spans="1:16" x14ac:dyDescent="0.35">
      <c r="A348" s="2" t="s">
        <v>48</v>
      </c>
      <c r="B348" s="2" t="s">
        <v>47</v>
      </c>
      <c r="C348" s="2" t="s">
        <v>37</v>
      </c>
      <c r="D348" s="2" t="s">
        <v>22</v>
      </c>
      <c r="E348" s="2">
        <v>26</v>
      </c>
      <c r="F348" s="2">
        <v>30</v>
      </c>
      <c r="G348" s="2">
        <v>28</v>
      </c>
      <c r="H348" s="2">
        <v>0</v>
      </c>
      <c r="I348" s="2">
        <v>1</v>
      </c>
      <c r="J348" s="2">
        <f>ABS(F348-E348)</f>
        <v>4</v>
      </c>
      <c r="K348" s="29">
        <f>J348/E348</f>
        <v>0.15384615384615385</v>
      </c>
      <c r="L348" s="2">
        <f>ABS(G348-E348)</f>
        <v>2</v>
      </c>
      <c r="M348" s="50">
        <f>(L348/E348)</f>
        <v>7.6923076923076927E-2</v>
      </c>
      <c r="N348" s="2">
        <v>33</v>
      </c>
      <c r="O348" s="11">
        <f t="shared" si="10"/>
        <v>7</v>
      </c>
      <c r="P348" s="29">
        <f t="shared" si="11"/>
        <v>0.26923076923076922</v>
      </c>
    </row>
    <row r="349" spans="1:16" x14ac:dyDescent="0.35">
      <c r="A349" s="2" t="s">
        <v>48</v>
      </c>
      <c r="B349" s="2" t="s">
        <v>47</v>
      </c>
      <c r="C349" s="2" t="s">
        <v>37</v>
      </c>
      <c r="D349" s="2" t="s">
        <v>23</v>
      </c>
      <c r="E349" s="2">
        <v>53</v>
      </c>
      <c r="F349" s="2">
        <v>55</v>
      </c>
      <c r="G349" s="2">
        <v>52</v>
      </c>
      <c r="H349" s="2">
        <v>1</v>
      </c>
      <c r="I349" s="2">
        <v>0</v>
      </c>
      <c r="J349" s="2">
        <f>ABS(F349-E349)</f>
        <v>2</v>
      </c>
      <c r="K349" s="29">
        <f>J349/E349</f>
        <v>3.7735849056603772E-2</v>
      </c>
      <c r="L349" s="2">
        <f>ABS(G349-E349)</f>
        <v>1</v>
      </c>
      <c r="M349" s="50">
        <f>(L349/E349)</f>
        <v>1.8867924528301886E-2</v>
      </c>
      <c r="N349" s="2">
        <v>56</v>
      </c>
      <c r="O349" s="11">
        <f t="shared" si="10"/>
        <v>3</v>
      </c>
      <c r="P349" s="29">
        <f t="shared" si="11"/>
        <v>5.6603773584905662E-2</v>
      </c>
    </row>
    <row r="350" spans="1:16" x14ac:dyDescent="0.35">
      <c r="A350" s="2" t="s">
        <v>48</v>
      </c>
      <c r="B350" s="2" t="s">
        <v>47</v>
      </c>
      <c r="C350" s="2" t="s">
        <v>37</v>
      </c>
      <c r="D350" s="2" t="s">
        <v>24</v>
      </c>
      <c r="E350" s="2">
        <v>64</v>
      </c>
      <c r="F350" s="2">
        <v>50</v>
      </c>
      <c r="G350" s="2">
        <v>66</v>
      </c>
      <c r="H350" s="2">
        <v>0</v>
      </c>
      <c r="I350" s="2">
        <v>0</v>
      </c>
      <c r="J350" s="2">
        <f>ABS(F350-E350)</f>
        <v>14</v>
      </c>
      <c r="K350" s="29">
        <f>J350/E350</f>
        <v>0.21875</v>
      </c>
      <c r="L350" s="2">
        <f>ABS(G350-E350)</f>
        <v>2</v>
      </c>
      <c r="M350" s="50">
        <f>(L350/E350)</f>
        <v>3.125E-2</v>
      </c>
      <c r="N350" s="2">
        <v>59</v>
      </c>
      <c r="O350" s="11">
        <f t="shared" si="10"/>
        <v>5</v>
      </c>
      <c r="P350" s="29">
        <f t="shared" si="11"/>
        <v>7.8125E-2</v>
      </c>
    </row>
    <row r="351" spans="1:16" x14ac:dyDescent="0.35">
      <c r="A351" s="2" t="s">
        <v>48</v>
      </c>
      <c r="B351" s="2" t="s">
        <v>47</v>
      </c>
      <c r="C351" s="2" t="s">
        <v>37</v>
      </c>
      <c r="D351" s="2" t="s">
        <v>25</v>
      </c>
      <c r="E351" s="2">
        <v>66</v>
      </c>
      <c r="F351" s="2">
        <v>63</v>
      </c>
      <c r="G351" s="2">
        <v>64</v>
      </c>
      <c r="H351" s="2">
        <v>0</v>
      </c>
      <c r="I351" s="2">
        <v>0</v>
      </c>
      <c r="J351" s="2">
        <f>ABS(F351-E351)</f>
        <v>3</v>
      </c>
      <c r="K351" s="29">
        <f>J351/E351</f>
        <v>4.5454545454545456E-2</v>
      </c>
      <c r="L351" s="2">
        <f>ABS(G351-E351)</f>
        <v>2</v>
      </c>
      <c r="M351" s="50">
        <f>(L351/E351)</f>
        <v>3.0303030303030304E-2</v>
      </c>
      <c r="N351" s="2">
        <v>66</v>
      </c>
      <c r="O351" s="11">
        <f t="shared" si="10"/>
        <v>0</v>
      </c>
      <c r="P351" s="29">
        <f t="shared" si="11"/>
        <v>0</v>
      </c>
    </row>
    <row r="352" spans="1:16" x14ac:dyDescent="0.35">
      <c r="A352" s="2" t="s">
        <v>48</v>
      </c>
      <c r="B352" s="2" t="s">
        <v>47</v>
      </c>
      <c r="C352" s="2" t="s">
        <v>37</v>
      </c>
      <c r="D352" s="2" t="s">
        <v>26</v>
      </c>
      <c r="E352" s="2">
        <v>63</v>
      </c>
      <c r="F352" s="2">
        <v>64</v>
      </c>
      <c r="G352" s="2">
        <v>65</v>
      </c>
      <c r="H352" s="2">
        <v>0</v>
      </c>
      <c r="I352" s="2">
        <v>0</v>
      </c>
      <c r="J352" s="2">
        <f>ABS(F352-E352)</f>
        <v>1</v>
      </c>
      <c r="K352" s="29">
        <f>J352/E352</f>
        <v>1.5873015873015872E-2</v>
      </c>
      <c r="L352" s="2">
        <f>ABS(G352-E352)</f>
        <v>2</v>
      </c>
      <c r="M352" s="50">
        <f>(L352/E352)</f>
        <v>3.1746031746031744E-2</v>
      </c>
      <c r="N352" s="2">
        <v>66</v>
      </c>
      <c r="O352" s="11">
        <f t="shared" si="10"/>
        <v>3</v>
      </c>
      <c r="P352" s="29">
        <f t="shared" si="11"/>
        <v>4.7619047619047616E-2</v>
      </c>
    </row>
    <row r="353" spans="1:16" x14ac:dyDescent="0.35">
      <c r="A353" s="2" t="s">
        <v>48</v>
      </c>
      <c r="B353" s="2" t="s">
        <v>47</v>
      </c>
      <c r="C353" s="2" t="s">
        <v>37</v>
      </c>
      <c r="D353" s="2" t="s">
        <v>27</v>
      </c>
      <c r="E353" s="2">
        <v>67</v>
      </c>
      <c r="F353" s="2">
        <v>65</v>
      </c>
      <c r="G353" s="2">
        <v>66</v>
      </c>
      <c r="H353" s="2">
        <v>0</v>
      </c>
      <c r="I353" s="2">
        <v>0</v>
      </c>
      <c r="J353" s="2">
        <f>ABS(F353-E353)</f>
        <v>2</v>
      </c>
      <c r="K353" s="29">
        <f>J353/E353</f>
        <v>2.9850746268656716E-2</v>
      </c>
      <c r="L353" s="2">
        <f>ABS(G353-E353)</f>
        <v>1</v>
      </c>
      <c r="M353" s="50">
        <f>(L353/E353)</f>
        <v>1.4925373134328358E-2</v>
      </c>
      <c r="N353" s="2">
        <v>64</v>
      </c>
      <c r="O353" s="11">
        <f t="shared" si="10"/>
        <v>3</v>
      </c>
      <c r="P353" s="29">
        <f t="shared" si="11"/>
        <v>4.4776119402985072E-2</v>
      </c>
    </row>
    <row r="354" spans="1:16" x14ac:dyDescent="0.35">
      <c r="A354" s="2" t="s">
        <v>48</v>
      </c>
      <c r="B354" s="2" t="s">
        <v>47</v>
      </c>
      <c r="C354" s="2" t="s">
        <v>37</v>
      </c>
      <c r="D354" s="2" t="s">
        <v>28</v>
      </c>
      <c r="E354" s="2">
        <v>50</v>
      </c>
      <c r="F354" s="2">
        <v>57</v>
      </c>
      <c r="G354" s="2">
        <v>50</v>
      </c>
      <c r="H354" s="2">
        <v>1</v>
      </c>
      <c r="I354" s="2">
        <v>0</v>
      </c>
      <c r="J354" s="2">
        <f>ABS(F354-E354)</f>
        <v>7</v>
      </c>
      <c r="K354" s="29">
        <f>J354/E354</f>
        <v>0.14000000000000001</v>
      </c>
      <c r="L354" s="2">
        <f>ABS(G354-E354)</f>
        <v>0</v>
      </c>
      <c r="M354" s="50">
        <f>(L354/E354)</f>
        <v>0</v>
      </c>
      <c r="N354" s="2">
        <v>58</v>
      </c>
      <c r="O354" s="11">
        <f t="shared" si="10"/>
        <v>8</v>
      </c>
      <c r="P354" s="29">
        <f t="shared" si="11"/>
        <v>0.16</v>
      </c>
    </row>
    <row r="355" spans="1:16" x14ac:dyDescent="0.35">
      <c r="A355" s="2" t="s">
        <v>48</v>
      </c>
      <c r="B355" s="2" t="s">
        <v>47</v>
      </c>
      <c r="C355" s="2" t="s">
        <v>37</v>
      </c>
      <c r="D355" s="2" t="s">
        <v>29</v>
      </c>
      <c r="E355" s="2">
        <v>63</v>
      </c>
      <c r="F355" s="2">
        <v>68</v>
      </c>
      <c r="G355" s="2">
        <v>67</v>
      </c>
      <c r="H355" s="2">
        <v>1</v>
      </c>
      <c r="I355" s="2">
        <v>0</v>
      </c>
      <c r="J355" s="2">
        <f>ABS(F355-E355)</f>
        <v>5</v>
      </c>
      <c r="K355" s="29">
        <f>J355/E355</f>
        <v>7.9365079365079361E-2</v>
      </c>
      <c r="L355" s="2">
        <f>ABS(G355-E355)</f>
        <v>4</v>
      </c>
      <c r="M355" s="50">
        <f>(L355/E355)</f>
        <v>6.3492063492063489E-2</v>
      </c>
      <c r="N355" s="2">
        <v>62</v>
      </c>
      <c r="O355" s="11">
        <f t="shared" si="10"/>
        <v>1</v>
      </c>
      <c r="P355" s="29">
        <f t="shared" si="11"/>
        <v>1.5873015873015872E-2</v>
      </c>
    </row>
    <row r="356" spans="1:16" x14ac:dyDescent="0.35">
      <c r="A356" s="2" t="s">
        <v>48</v>
      </c>
      <c r="B356" s="2" t="s">
        <v>47</v>
      </c>
      <c r="C356" s="2" t="s">
        <v>37</v>
      </c>
      <c r="D356" s="2" t="s">
        <v>30</v>
      </c>
      <c r="E356" s="2">
        <v>30</v>
      </c>
      <c r="F356" s="2">
        <v>33</v>
      </c>
      <c r="G356" s="2">
        <v>30</v>
      </c>
      <c r="H356" s="2">
        <v>0</v>
      </c>
      <c r="I356" s="2">
        <v>1</v>
      </c>
      <c r="J356" s="2">
        <f>ABS(F356-E356)</f>
        <v>3</v>
      </c>
      <c r="K356" s="29">
        <f>J356/E356</f>
        <v>0.1</v>
      </c>
      <c r="L356" s="2">
        <f>ABS(G356-E356)</f>
        <v>0</v>
      </c>
      <c r="M356" s="50">
        <f>(L356/E356)</f>
        <v>0</v>
      </c>
      <c r="N356" s="2">
        <v>33</v>
      </c>
      <c r="O356" s="11">
        <f t="shared" si="10"/>
        <v>3</v>
      </c>
      <c r="P356" s="29">
        <f t="shared" si="11"/>
        <v>0.1</v>
      </c>
    </row>
    <row r="357" spans="1:16" x14ac:dyDescent="0.35">
      <c r="A357" s="2" t="s">
        <v>48</v>
      </c>
      <c r="B357" s="2" t="s">
        <v>47</v>
      </c>
      <c r="C357" s="2" t="s">
        <v>37</v>
      </c>
      <c r="D357" s="2" t="s">
        <v>31</v>
      </c>
      <c r="E357" s="2">
        <v>40</v>
      </c>
      <c r="F357" s="2">
        <v>42</v>
      </c>
      <c r="G357" s="2">
        <v>38</v>
      </c>
      <c r="H357" s="2">
        <v>0</v>
      </c>
      <c r="I357" s="2">
        <v>0</v>
      </c>
      <c r="J357" s="2">
        <f>ABS(F357-E357)</f>
        <v>2</v>
      </c>
      <c r="K357" s="29">
        <f>J357/E357</f>
        <v>0.05</v>
      </c>
      <c r="L357" s="2">
        <f>ABS(G357-E357)</f>
        <v>2</v>
      </c>
      <c r="M357" s="50">
        <f>(L357/E357)</f>
        <v>0.05</v>
      </c>
      <c r="N357" s="2">
        <v>39</v>
      </c>
      <c r="O357" s="11">
        <f t="shared" si="10"/>
        <v>1</v>
      </c>
      <c r="P357" s="29">
        <f t="shared" si="11"/>
        <v>2.5000000000000001E-2</v>
      </c>
    </row>
    <row r="358" spans="1:16" x14ac:dyDescent="0.35">
      <c r="A358" s="2" t="s">
        <v>48</v>
      </c>
      <c r="B358" s="2" t="s">
        <v>47</v>
      </c>
      <c r="C358" s="2" t="s">
        <v>37</v>
      </c>
      <c r="D358" s="2" t="s">
        <v>32</v>
      </c>
      <c r="E358" s="2">
        <v>47</v>
      </c>
      <c r="F358" s="2">
        <v>43</v>
      </c>
      <c r="G358" s="2">
        <v>46</v>
      </c>
      <c r="H358" s="2">
        <v>1</v>
      </c>
      <c r="I358" s="2">
        <v>0</v>
      </c>
      <c r="J358" s="2">
        <f>ABS(F358-E358)</f>
        <v>4</v>
      </c>
      <c r="K358" s="29">
        <f>J358/E358</f>
        <v>8.5106382978723402E-2</v>
      </c>
      <c r="L358" s="2">
        <f>ABS(G358-E358)</f>
        <v>1</v>
      </c>
      <c r="M358" s="50">
        <f>(L358/E358)</f>
        <v>2.1276595744680851E-2</v>
      </c>
      <c r="N358" s="2">
        <v>42</v>
      </c>
      <c r="O358" s="11">
        <f t="shared" si="10"/>
        <v>5</v>
      </c>
      <c r="P358" s="29">
        <f t="shared" si="11"/>
        <v>0.10638297872340426</v>
      </c>
    </row>
    <row r="359" spans="1:16" x14ac:dyDescent="0.35">
      <c r="A359" s="2" t="s">
        <v>48</v>
      </c>
      <c r="B359" s="2" t="s">
        <v>47</v>
      </c>
      <c r="C359" s="2" t="s">
        <v>37</v>
      </c>
      <c r="D359" s="2" t="s">
        <v>33</v>
      </c>
      <c r="E359" s="2">
        <v>42</v>
      </c>
      <c r="F359" s="2">
        <v>41</v>
      </c>
      <c r="G359" s="2">
        <v>39</v>
      </c>
      <c r="H359" s="2">
        <v>0</v>
      </c>
      <c r="I359" s="2">
        <v>0</v>
      </c>
      <c r="J359" s="2">
        <f>ABS(F359-E359)</f>
        <v>1</v>
      </c>
      <c r="K359" s="29">
        <f>J359/E359</f>
        <v>2.3809523809523808E-2</v>
      </c>
      <c r="L359" s="2">
        <f>ABS(G359-E359)</f>
        <v>3</v>
      </c>
      <c r="M359" s="50">
        <f>(L359/E359)</f>
        <v>7.1428571428571425E-2</v>
      </c>
      <c r="N359" s="2">
        <v>39</v>
      </c>
      <c r="O359" s="11">
        <f t="shared" si="10"/>
        <v>3</v>
      </c>
      <c r="P359" s="29">
        <f t="shared" si="11"/>
        <v>7.1428571428571425E-2</v>
      </c>
    </row>
    <row r="360" spans="1:16" x14ac:dyDescent="0.35">
      <c r="A360" s="2" t="s">
        <v>48</v>
      </c>
      <c r="B360" s="2" t="s">
        <v>47</v>
      </c>
      <c r="C360" s="2" t="s">
        <v>37</v>
      </c>
      <c r="D360" s="2" t="s">
        <v>34</v>
      </c>
      <c r="E360" s="2">
        <v>35</v>
      </c>
      <c r="F360" s="2">
        <v>43</v>
      </c>
      <c r="G360" s="2">
        <v>36</v>
      </c>
      <c r="H360" s="2">
        <v>0</v>
      </c>
      <c r="I360" s="2">
        <v>0</v>
      </c>
      <c r="J360" s="2">
        <f>ABS(F360-E360)</f>
        <v>8</v>
      </c>
      <c r="K360" s="29">
        <f>J360/E360</f>
        <v>0.22857142857142856</v>
      </c>
      <c r="L360" s="2">
        <f>ABS(G360-E360)</f>
        <v>1</v>
      </c>
      <c r="M360" s="50">
        <f>(L360/E360)</f>
        <v>2.8571428571428571E-2</v>
      </c>
      <c r="N360" s="2">
        <v>42</v>
      </c>
      <c r="O360" s="11">
        <f t="shared" si="10"/>
        <v>7</v>
      </c>
      <c r="P360" s="29">
        <f t="shared" si="11"/>
        <v>0.2</v>
      </c>
    </row>
    <row r="361" spans="1:16" x14ac:dyDescent="0.35">
      <c r="A361" s="2" t="s">
        <v>48</v>
      </c>
      <c r="B361" s="2" t="s">
        <v>47</v>
      </c>
      <c r="C361" s="2" t="s">
        <v>37</v>
      </c>
      <c r="D361" s="2" t="s">
        <v>35</v>
      </c>
      <c r="E361" s="2">
        <v>53</v>
      </c>
      <c r="F361" s="2">
        <v>63</v>
      </c>
      <c r="G361" s="2">
        <v>58</v>
      </c>
      <c r="H361" s="2">
        <v>0</v>
      </c>
      <c r="I361" s="2">
        <v>0</v>
      </c>
      <c r="J361" s="2">
        <f>ABS(F361-E361)</f>
        <v>10</v>
      </c>
      <c r="K361" s="29">
        <f>J361/E361</f>
        <v>0.18867924528301888</v>
      </c>
      <c r="L361" s="2">
        <f>ABS(G361-E361)</f>
        <v>5</v>
      </c>
      <c r="M361" s="50">
        <f>(L361/E361)</f>
        <v>9.4339622641509441E-2</v>
      </c>
      <c r="N361" s="2">
        <v>58</v>
      </c>
      <c r="O361" s="11">
        <f t="shared" si="10"/>
        <v>5</v>
      </c>
      <c r="P361" s="29">
        <f t="shared" si="11"/>
        <v>9.4339622641509441E-2</v>
      </c>
    </row>
    <row r="362" spans="1:16" x14ac:dyDescent="0.35">
      <c r="A362" s="2" t="s">
        <v>48</v>
      </c>
      <c r="B362" s="2" t="s">
        <v>47</v>
      </c>
      <c r="C362" s="2" t="s">
        <v>38</v>
      </c>
      <c r="D362" s="2" t="s">
        <v>12</v>
      </c>
      <c r="E362" s="2">
        <v>64</v>
      </c>
      <c r="F362" s="2">
        <v>59</v>
      </c>
      <c r="G362" s="2">
        <v>62</v>
      </c>
      <c r="H362" s="2">
        <v>1</v>
      </c>
      <c r="I362" s="2">
        <v>0</v>
      </c>
      <c r="J362" s="2">
        <f>ABS(F362-E362)</f>
        <v>5</v>
      </c>
      <c r="K362" s="29">
        <f>J362/E362</f>
        <v>7.8125E-2</v>
      </c>
      <c r="L362" s="2">
        <f>ABS(G362-E362)</f>
        <v>2</v>
      </c>
      <c r="M362" s="50">
        <f>(L362/E362)</f>
        <v>3.125E-2</v>
      </c>
      <c r="N362" s="2">
        <v>62</v>
      </c>
      <c r="O362" s="11">
        <f t="shared" si="10"/>
        <v>2</v>
      </c>
      <c r="P362" s="29">
        <f t="shared" si="11"/>
        <v>3.125E-2</v>
      </c>
    </row>
    <row r="363" spans="1:16" x14ac:dyDescent="0.35">
      <c r="A363" s="2" t="s">
        <v>48</v>
      </c>
      <c r="B363" s="2" t="s">
        <v>47</v>
      </c>
      <c r="C363" s="2" t="s">
        <v>38</v>
      </c>
      <c r="D363" s="2" t="s">
        <v>13</v>
      </c>
      <c r="E363" s="2">
        <v>68</v>
      </c>
      <c r="F363" s="2">
        <v>69</v>
      </c>
      <c r="G363" s="2">
        <v>67</v>
      </c>
      <c r="H363" s="2">
        <v>1</v>
      </c>
      <c r="I363" s="2">
        <v>0</v>
      </c>
      <c r="J363" s="2">
        <f>ABS(F363-E363)</f>
        <v>1</v>
      </c>
      <c r="K363" s="29">
        <f>J363/E363</f>
        <v>1.4705882352941176E-2</v>
      </c>
      <c r="L363" s="2">
        <f>ABS(G363-E363)</f>
        <v>1</v>
      </c>
      <c r="M363" s="50">
        <f>(L363/E363)</f>
        <v>1.4705882352941176E-2</v>
      </c>
      <c r="N363" s="2">
        <v>68</v>
      </c>
      <c r="O363" s="11">
        <f t="shared" si="10"/>
        <v>0</v>
      </c>
      <c r="P363" s="29">
        <f t="shared" si="11"/>
        <v>0</v>
      </c>
    </row>
    <row r="364" spans="1:16" x14ac:dyDescent="0.35">
      <c r="A364" s="2" t="s">
        <v>48</v>
      </c>
      <c r="B364" s="2" t="s">
        <v>47</v>
      </c>
      <c r="C364" s="2" t="s">
        <v>38</v>
      </c>
      <c r="D364" s="2" t="s">
        <v>14</v>
      </c>
      <c r="E364" s="2">
        <v>69</v>
      </c>
      <c r="F364" s="2">
        <v>66</v>
      </c>
      <c r="G364" s="2">
        <v>66</v>
      </c>
      <c r="H364" s="2">
        <v>0</v>
      </c>
      <c r="I364" s="2">
        <v>0</v>
      </c>
      <c r="J364" s="2">
        <f>ABS(F364-E364)</f>
        <v>3</v>
      </c>
      <c r="K364" s="29">
        <f>J364/E364</f>
        <v>4.3478260869565216E-2</v>
      </c>
      <c r="L364" s="2">
        <f>ABS(G364-E364)</f>
        <v>3</v>
      </c>
      <c r="M364" s="50">
        <f>(L364/E364)</f>
        <v>4.3478260869565216E-2</v>
      </c>
      <c r="N364" s="2">
        <v>66</v>
      </c>
      <c r="O364" s="11">
        <f t="shared" si="10"/>
        <v>3</v>
      </c>
      <c r="P364" s="29">
        <f t="shared" si="11"/>
        <v>4.3478260869565216E-2</v>
      </c>
    </row>
    <row r="365" spans="1:16" x14ac:dyDescent="0.35">
      <c r="A365" s="2" t="s">
        <v>48</v>
      </c>
      <c r="B365" s="2" t="s">
        <v>47</v>
      </c>
      <c r="C365" s="2" t="s">
        <v>38</v>
      </c>
      <c r="D365" s="2" t="s">
        <v>15</v>
      </c>
      <c r="E365" s="2">
        <v>59</v>
      </c>
      <c r="F365" s="2">
        <v>68</v>
      </c>
      <c r="G365" s="2">
        <v>52</v>
      </c>
      <c r="H365" s="2">
        <v>1</v>
      </c>
      <c r="I365" s="2">
        <v>0</v>
      </c>
      <c r="J365" s="2">
        <f>ABS(F365-E365)</f>
        <v>9</v>
      </c>
      <c r="K365" s="29">
        <f>J365/E365</f>
        <v>0.15254237288135594</v>
      </c>
      <c r="L365" s="2">
        <f>ABS(G365-E365)</f>
        <v>7</v>
      </c>
      <c r="M365" s="50">
        <f>(L365/E365)</f>
        <v>0.11864406779661017</v>
      </c>
      <c r="N365" s="2">
        <v>63</v>
      </c>
      <c r="O365" s="11">
        <f t="shared" si="10"/>
        <v>4</v>
      </c>
      <c r="P365" s="29">
        <f t="shared" si="11"/>
        <v>6.7796610169491525E-2</v>
      </c>
    </row>
    <row r="366" spans="1:16" x14ac:dyDescent="0.35">
      <c r="A366" s="2" t="s">
        <v>48</v>
      </c>
      <c r="B366" s="2" t="s">
        <v>47</v>
      </c>
      <c r="C366" s="2" t="s">
        <v>38</v>
      </c>
      <c r="D366" s="2" t="s">
        <v>16</v>
      </c>
      <c r="E366" s="2">
        <v>71</v>
      </c>
      <c r="F366" s="2">
        <v>85</v>
      </c>
      <c r="G366" s="2">
        <v>69</v>
      </c>
      <c r="H366" s="2">
        <v>0</v>
      </c>
      <c r="I366" s="2">
        <v>0</v>
      </c>
      <c r="J366" s="2">
        <f>ABS(F366-E366)</f>
        <v>14</v>
      </c>
      <c r="K366" s="29">
        <f>J366/E366</f>
        <v>0.19718309859154928</v>
      </c>
      <c r="L366" s="2">
        <f>ABS(G366-E366)</f>
        <v>2</v>
      </c>
      <c r="M366" s="50">
        <f>(L366/E366)</f>
        <v>2.8169014084507043E-2</v>
      </c>
      <c r="N366" s="2">
        <v>72</v>
      </c>
      <c r="O366" s="11">
        <f t="shared" si="10"/>
        <v>1</v>
      </c>
      <c r="P366" s="29">
        <f t="shared" si="11"/>
        <v>1.4084507042253521E-2</v>
      </c>
    </row>
    <row r="367" spans="1:16" x14ac:dyDescent="0.35">
      <c r="A367" s="2" t="s">
        <v>48</v>
      </c>
      <c r="B367" s="2" t="s">
        <v>47</v>
      </c>
      <c r="C367" s="2" t="s">
        <v>38</v>
      </c>
      <c r="D367" s="2" t="s">
        <v>17</v>
      </c>
      <c r="E367" s="2">
        <v>42</v>
      </c>
      <c r="F367" s="2">
        <v>40</v>
      </c>
      <c r="G367" s="2">
        <v>40</v>
      </c>
      <c r="H367" s="2">
        <v>0</v>
      </c>
      <c r="I367" s="2">
        <v>0</v>
      </c>
      <c r="J367" s="2">
        <f>ABS(F367-E367)</f>
        <v>2</v>
      </c>
      <c r="K367" s="29">
        <f>J367/E367</f>
        <v>4.7619047619047616E-2</v>
      </c>
      <c r="L367" s="2">
        <f>ABS(G367-E367)</f>
        <v>2</v>
      </c>
      <c r="M367" s="50">
        <f>(L367/E367)</f>
        <v>4.7619047619047616E-2</v>
      </c>
      <c r="N367" s="2">
        <v>39</v>
      </c>
      <c r="O367" s="11">
        <f t="shared" si="10"/>
        <v>3</v>
      </c>
      <c r="P367" s="29">
        <f t="shared" si="11"/>
        <v>7.1428571428571425E-2</v>
      </c>
    </row>
    <row r="368" spans="1:16" x14ac:dyDescent="0.35">
      <c r="A368" s="2" t="s">
        <v>48</v>
      </c>
      <c r="B368" s="2" t="s">
        <v>47</v>
      </c>
      <c r="C368" s="2" t="s">
        <v>38</v>
      </c>
      <c r="D368" s="2" t="s">
        <v>18</v>
      </c>
      <c r="E368" s="2">
        <v>30</v>
      </c>
      <c r="F368" s="2">
        <v>34</v>
      </c>
      <c r="G368" s="2">
        <v>28</v>
      </c>
      <c r="H368" s="2">
        <v>0</v>
      </c>
      <c r="I368" s="2">
        <v>1</v>
      </c>
      <c r="J368" s="2">
        <f>ABS(F368-E368)</f>
        <v>4</v>
      </c>
      <c r="K368" s="29">
        <f>J368/E368</f>
        <v>0.13333333333333333</v>
      </c>
      <c r="L368" s="2">
        <f>ABS(G368-E368)</f>
        <v>2</v>
      </c>
      <c r="M368" s="50">
        <f>(L368/E368)</f>
        <v>6.6666666666666666E-2</v>
      </c>
      <c r="N368" s="2">
        <v>33</v>
      </c>
      <c r="O368" s="11">
        <f t="shared" si="10"/>
        <v>3</v>
      </c>
      <c r="P368" s="29">
        <f t="shared" si="11"/>
        <v>0.1</v>
      </c>
    </row>
    <row r="369" spans="1:16" x14ac:dyDescent="0.35">
      <c r="A369" s="2" t="s">
        <v>48</v>
      </c>
      <c r="B369" s="2" t="s">
        <v>47</v>
      </c>
      <c r="C369" s="2" t="s">
        <v>38</v>
      </c>
      <c r="D369" s="2" t="s">
        <v>19</v>
      </c>
      <c r="E369" s="2">
        <v>40</v>
      </c>
      <c r="F369" s="2">
        <v>44</v>
      </c>
      <c r="G369" s="2">
        <v>38</v>
      </c>
      <c r="H369" s="2">
        <v>0</v>
      </c>
      <c r="I369" s="2">
        <v>0</v>
      </c>
      <c r="J369" s="2">
        <f>ABS(F369-E369)</f>
        <v>4</v>
      </c>
      <c r="K369" s="29">
        <f>J369/E369</f>
        <v>0.1</v>
      </c>
      <c r="L369" s="2">
        <f>ABS(G369-E369)</f>
        <v>2</v>
      </c>
      <c r="M369" s="50">
        <f>(L369/E369)</f>
        <v>0.05</v>
      </c>
      <c r="N369" s="2">
        <v>44</v>
      </c>
      <c r="O369" s="11">
        <f t="shared" si="10"/>
        <v>4</v>
      </c>
      <c r="P369" s="29">
        <f t="shared" si="11"/>
        <v>0.1</v>
      </c>
    </row>
    <row r="370" spans="1:16" x14ac:dyDescent="0.35">
      <c r="A370" s="2" t="s">
        <v>48</v>
      </c>
      <c r="B370" s="2" t="s">
        <v>47</v>
      </c>
      <c r="C370" s="2" t="s">
        <v>38</v>
      </c>
      <c r="D370" s="2" t="s">
        <v>20</v>
      </c>
      <c r="E370" s="2">
        <v>50</v>
      </c>
      <c r="F370" s="2">
        <v>53</v>
      </c>
      <c r="G370" s="2">
        <v>49</v>
      </c>
      <c r="H370" s="2">
        <v>0</v>
      </c>
      <c r="I370" s="2">
        <v>0</v>
      </c>
      <c r="J370" s="2">
        <f>ABS(F370-E370)</f>
        <v>3</v>
      </c>
      <c r="K370" s="29">
        <f>J370/E370</f>
        <v>0.06</v>
      </c>
      <c r="L370" s="2">
        <f>ABS(G370-E370)</f>
        <v>1</v>
      </c>
      <c r="M370" s="50">
        <f>(L370/E370)</f>
        <v>0.02</v>
      </c>
      <c r="N370" s="2">
        <v>54</v>
      </c>
      <c r="O370" s="11">
        <f t="shared" si="10"/>
        <v>4</v>
      </c>
      <c r="P370" s="29">
        <f t="shared" si="11"/>
        <v>0.08</v>
      </c>
    </row>
    <row r="371" spans="1:16" x14ac:dyDescent="0.35">
      <c r="A371" s="2" t="s">
        <v>48</v>
      </c>
      <c r="B371" s="2" t="s">
        <v>47</v>
      </c>
      <c r="C371" s="2" t="s">
        <v>38</v>
      </c>
      <c r="D371" s="2" t="s">
        <v>21</v>
      </c>
      <c r="E371" s="2">
        <v>46</v>
      </c>
      <c r="F371" s="2">
        <v>49</v>
      </c>
      <c r="G371" s="2">
        <v>46</v>
      </c>
      <c r="H371" s="2">
        <v>0</v>
      </c>
      <c r="I371" s="2">
        <v>0</v>
      </c>
      <c r="J371" s="2">
        <f>ABS(F371-E371)</f>
        <v>3</v>
      </c>
      <c r="K371" s="29">
        <f>J371/E371</f>
        <v>6.5217391304347824E-2</v>
      </c>
      <c r="L371" s="2">
        <f>ABS(G371-E371)</f>
        <v>0</v>
      </c>
      <c r="M371" s="50">
        <f>(L371/E371)</f>
        <v>0</v>
      </c>
      <c r="N371" s="2">
        <v>51</v>
      </c>
      <c r="O371" s="11">
        <f t="shared" si="10"/>
        <v>5</v>
      </c>
      <c r="P371" s="29">
        <f t="shared" si="11"/>
        <v>0.10869565217391304</v>
      </c>
    </row>
    <row r="372" spans="1:16" x14ac:dyDescent="0.35">
      <c r="A372" s="2" t="s">
        <v>48</v>
      </c>
      <c r="B372" s="2" t="s">
        <v>47</v>
      </c>
      <c r="C372" s="2" t="s">
        <v>38</v>
      </c>
      <c r="D372" s="2" t="s">
        <v>22</v>
      </c>
      <c r="E372" s="2">
        <v>53</v>
      </c>
      <c r="F372" s="2">
        <v>56</v>
      </c>
      <c r="G372" s="2">
        <v>54</v>
      </c>
      <c r="H372" s="2">
        <v>0</v>
      </c>
      <c r="I372" s="2">
        <v>0</v>
      </c>
      <c r="J372" s="2">
        <f>ABS(F372-E372)</f>
        <v>3</v>
      </c>
      <c r="K372" s="29">
        <f>J372/E372</f>
        <v>5.6603773584905662E-2</v>
      </c>
      <c r="L372" s="2">
        <f>ABS(G372-E372)</f>
        <v>1</v>
      </c>
      <c r="M372" s="50">
        <f>(L372/E372)</f>
        <v>1.8867924528301886E-2</v>
      </c>
      <c r="N372" s="2">
        <v>55</v>
      </c>
      <c r="O372" s="11">
        <f t="shared" si="10"/>
        <v>2</v>
      </c>
      <c r="P372" s="29">
        <f t="shared" si="11"/>
        <v>3.7735849056603772E-2</v>
      </c>
    </row>
    <row r="373" spans="1:16" x14ac:dyDescent="0.35">
      <c r="A373" s="2" t="s">
        <v>48</v>
      </c>
      <c r="B373" s="2" t="s">
        <v>47</v>
      </c>
      <c r="C373" s="2" t="s">
        <v>38</v>
      </c>
      <c r="D373" s="2" t="s">
        <v>23</v>
      </c>
      <c r="E373" s="2">
        <v>54</v>
      </c>
      <c r="F373" s="2">
        <v>66</v>
      </c>
      <c r="G373" s="2">
        <v>49</v>
      </c>
      <c r="H373" s="2">
        <v>0</v>
      </c>
      <c r="I373" s="2">
        <v>0</v>
      </c>
      <c r="J373" s="2">
        <f>ABS(F373-E373)</f>
        <v>12</v>
      </c>
      <c r="K373" s="29">
        <f>J373/E373</f>
        <v>0.22222222222222221</v>
      </c>
      <c r="L373" s="2">
        <f>ABS(G373-E373)</f>
        <v>5</v>
      </c>
      <c r="M373" s="50">
        <f>(L373/E373)</f>
        <v>9.2592592592592587E-2</v>
      </c>
      <c r="N373" s="2">
        <v>58</v>
      </c>
      <c r="O373" s="11">
        <f t="shared" si="10"/>
        <v>4</v>
      </c>
      <c r="P373" s="29">
        <f t="shared" si="11"/>
        <v>7.407407407407407E-2</v>
      </c>
    </row>
    <row r="374" spans="1:16" x14ac:dyDescent="0.35">
      <c r="A374" s="2" t="s">
        <v>48</v>
      </c>
      <c r="B374" s="2" t="s">
        <v>47</v>
      </c>
      <c r="C374" s="2" t="s">
        <v>38</v>
      </c>
      <c r="D374" s="2" t="s">
        <v>24</v>
      </c>
      <c r="E374" s="2">
        <v>58</v>
      </c>
      <c r="F374" s="2">
        <v>64</v>
      </c>
      <c r="G374" s="2">
        <v>61</v>
      </c>
      <c r="H374" s="2">
        <v>1</v>
      </c>
      <c r="I374" s="2">
        <v>0</v>
      </c>
      <c r="J374" s="2">
        <f>ABS(F374-E374)</f>
        <v>6</v>
      </c>
      <c r="K374" s="29">
        <f>J374/E374</f>
        <v>0.10344827586206896</v>
      </c>
      <c r="L374" s="2">
        <f>ABS(G374-E374)</f>
        <v>3</v>
      </c>
      <c r="M374" s="50">
        <f>(L374/E374)</f>
        <v>5.1724137931034482E-2</v>
      </c>
      <c r="N374" s="2">
        <v>66</v>
      </c>
      <c r="O374" s="11">
        <f t="shared" si="10"/>
        <v>8</v>
      </c>
      <c r="P374" s="29">
        <f t="shared" si="11"/>
        <v>0.13793103448275862</v>
      </c>
    </row>
    <row r="375" spans="1:16" x14ac:dyDescent="0.35">
      <c r="A375" s="2" t="s">
        <v>48</v>
      </c>
      <c r="B375" s="2" t="s">
        <v>47</v>
      </c>
      <c r="C375" s="2" t="s">
        <v>38</v>
      </c>
      <c r="D375" s="2" t="s">
        <v>25</v>
      </c>
      <c r="E375" s="2">
        <v>52</v>
      </c>
      <c r="F375" s="2">
        <v>50</v>
      </c>
      <c r="G375" s="2">
        <v>56</v>
      </c>
      <c r="H375" s="2">
        <v>0</v>
      </c>
      <c r="I375" s="2">
        <v>0</v>
      </c>
      <c r="J375" s="2">
        <f>ABS(F375-E375)</f>
        <v>2</v>
      </c>
      <c r="K375" s="29">
        <f>J375/E375</f>
        <v>3.8461538461538464E-2</v>
      </c>
      <c r="L375" s="2">
        <f>ABS(G375-E375)</f>
        <v>4</v>
      </c>
      <c r="M375" s="50">
        <f>(L375/E375)</f>
        <v>7.6923076923076927E-2</v>
      </c>
      <c r="N375" s="2">
        <v>56</v>
      </c>
      <c r="O375" s="11">
        <f t="shared" si="10"/>
        <v>4</v>
      </c>
      <c r="P375" s="29">
        <f t="shared" si="11"/>
        <v>7.6923076923076927E-2</v>
      </c>
    </row>
    <row r="376" spans="1:16" x14ac:dyDescent="0.35">
      <c r="A376" s="2" t="s">
        <v>48</v>
      </c>
      <c r="B376" s="2" t="s">
        <v>47</v>
      </c>
      <c r="C376" s="2" t="s">
        <v>38</v>
      </c>
      <c r="D376" s="2" t="s">
        <v>26</v>
      </c>
      <c r="E376" s="2">
        <v>65</v>
      </c>
      <c r="F376" s="2">
        <v>61</v>
      </c>
      <c r="G376" s="2">
        <v>64</v>
      </c>
      <c r="H376" s="2">
        <v>0</v>
      </c>
      <c r="I376" s="2">
        <v>0</v>
      </c>
      <c r="J376" s="2">
        <f>ABS(F376-E376)</f>
        <v>4</v>
      </c>
      <c r="K376" s="29">
        <f>J376/E376</f>
        <v>6.1538461538461542E-2</v>
      </c>
      <c r="L376" s="2">
        <f>ABS(G376-E376)</f>
        <v>1</v>
      </c>
      <c r="M376" s="50">
        <f>(L376/E376)</f>
        <v>1.5384615384615385E-2</v>
      </c>
      <c r="N376" s="2">
        <v>59</v>
      </c>
      <c r="O376" s="11">
        <f t="shared" si="10"/>
        <v>6</v>
      </c>
      <c r="P376" s="29">
        <f t="shared" si="11"/>
        <v>9.2307692307692313E-2</v>
      </c>
    </row>
    <row r="377" spans="1:16" x14ac:dyDescent="0.35">
      <c r="A377" s="2" t="s">
        <v>48</v>
      </c>
      <c r="B377" s="2" t="s">
        <v>47</v>
      </c>
      <c r="C377" s="2" t="s">
        <v>38</v>
      </c>
      <c r="D377" s="2" t="s">
        <v>27</v>
      </c>
      <c r="E377" s="2">
        <v>82</v>
      </c>
      <c r="F377" s="2">
        <v>99</v>
      </c>
      <c r="G377" s="2">
        <v>89</v>
      </c>
      <c r="H377" s="2">
        <v>0</v>
      </c>
      <c r="I377" s="2">
        <v>0</v>
      </c>
      <c r="J377" s="2">
        <f>ABS(F377-E377)</f>
        <v>17</v>
      </c>
      <c r="K377" s="29">
        <f>J377/E377</f>
        <v>0.2073170731707317</v>
      </c>
      <c r="L377" s="2">
        <f>ABS(G377-E377)</f>
        <v>7</v>
      </c>
      <c r="M377" s="50">
        <f>(L377/E377)</f>
        <v>8.5365853658536592E-2</v>
      </c>
      <c r="N377" s="2">
        <v>87</v>
      </c>
      <c r="O377" s="11">
        <f t="shared" si="10"/>
        <v>5</v>
      </c>
      <c r="P377" s="29">
        <f t="shared" si="11"/>
        <v>6.097560975609756E-2</v>
      </c>
    </row>
    <row r="378" spans="1:16" x14ac:dyDescent="0.35">
      <c r="A378" s="2" t="s">
        <v>48</v>
      </c>
      <c r="B378" s="2" t="s">
        <v>47</v>
      </c>
      <c r="C378" s="2" t="s">
        <v>38</v>
      </c>
      <c r="D378" s="2" t="s">
        <v>28</v>
      </c>
      <c r="E378" s="2">
        <v>77</v>
      </c>
      <c r="F378" s="2">
        <v>94</v>
      </c>
      <c r="G378" s="2">
        <v>79</v>
      </c>
      <c r="H378" s="2">
        <v>0</v>
      </c>
      <c r="I378" s="2">
        <v>0</v>
      </c>
      <c r="J378" s="2">
        <f>ABS(F378-E378)</f>
        <v>17</v>
      </c>
      <c r="K378" s="29">
        <f>J378/E378</f>
        <v>0.22077922077922077</v>
      </c>
      <c r="L378" s="2">
        <f>ABS(G378-E378)</f>
        <v>2</v>
      </c>
      <c r="M378" s="50">
        <f>(L378/E378)</f>
        <v>2.5974025974025976E-2</v>
      </c>
      <c r="N378" s="2">
        <v>81</v>
      </c>
      <c r="O378" s="11">
        <f t="shared" si="10"/>
        <v>4</v>
      </c>
      <c r="P378" s="29">
        <f t="shared" si="11"/>
        <v>5.1948051948051951E-2</v>
      </c>
    </row>
    <row r="379" spans="1:16" x14ac:dyDescent="0.35">
      <c r="A379" s="2" t="s">
        <v>48</v>
      </c>
      <c r="B379" s="2" t="s">
        <v>47</v>
      </c>
      <c r="C379" s="2" t="s">
        <v>38</v>
      </c>
      <c r="D379" s="2" t="s">
        <v>29</v>
      </c>
      <c r="E379" s="2">
        <v>53</v>
      </c>
      <c r="F379" s="2">
        <v>58</v>
      </c>
      <c r="G379" s="2">
        <v>56</v>
      </c>
      <c r="H379" s="2">
        <v>0</v>
      </c>
      <c r="I379" s="2">
        <v>0</v>
      </c>
      <c r="J379" s="2">
        <f>ABS(F379-E379)</f>
        <v>5</v>
      </c>
      <c r="K379" s="29">
        <f>J379/E379</f>
        <v>9.4339622641509441E-2</v>
      </c>
      <c r="L379" s="2">
        <f>ABS(G379-E379)</f>
        <v>3</v>
      </c>
      <c r="M379" s="50">
        <f>(L379/E379)</f>
        <v>5.6603773584905662E-2</v>
      </c>
      <c r="N379" s="2">
        <v>58</v>
      </c>
      <c r="O379" s="11">
        <f t="shared" si="10"/>
        <v>5</v>
      </c>
      <c r="P379" s="29">
        <f t="shared" si="11"/>
        <v>9.4339622641509441E-2</v>
      </c>
    </row>
    <row r="380" spans="1:16" x14ac:dyDescent="0.35">
      <c r="A380" s="2" t="s">
        <v>48</v>
      </c>
      <c r="B380" s="2" t="s">
        <v>47</v>
      </c>
      <c r="C380" s="2" t="s">
        <v>38</v>
      </c>
      <c r="D380" s="2" t="s">
        <v>30</v>
      </c>
      <c r="E380" s="2">
        <v>59</v>
      </c>
      <c r="F380" s="2">
        <v>64</v>
      </c>
      <c r="G380" s="2">
        <v>61</v>
      </c>
      <c r="H380" s="2">
        <v>0</v>
      </c>
      <c r="I380" s="2">
        <v>0</v>
      </c>
      <c r="J380" s="2">
        <f>ABS(F380-E380)</f>
        <v>5</v>
      </c>
      <c r="K380" s="29">
        <f>J380/E380</f>
        <v>8.4745762711864403E-2</v>
      </c>
      <c r="L380" s="2">
        <f>ABS(G380-E380)</f>
        <v>2</v>
      </c>
      <c r="M380" s="50">
        <f>(L380/E380)</f>
        <v>3.3898305084745763E-2</v>
      </c>
      <c r="N380" s="2">
        <v>61</v>
      </c>
      <c r="O380" s="11">
        <f t="shared" si="10"/>
        <v>2</v>
      </c>
      <c r="P380" s="29">
        <f t="shared" si="11"/>
        <v>3.3898305084745763E-2</v>
      </c>
    </row>
    <row r="381" spans="1:16" x14ac:dyDescent="0.35">
      <c r="A381" s="2" t="s">
        <v>48</v>
      </c>
      <c r="B381" s="2" t="s">
        <v>47</v>
      </c>
      <c r="C381" s="2" t="s">
        <v>38</v>
      </c>
      <c r="D381" s="2" t="s">
        <v>31</v>
      </c>
      <c r="E381" s="2">
        <v>54</v>
      </c>
      <c r="F381" s="2">
        <v>54</v>
      </c>
      <c r="G381" s="2">
        <v>49</v>
      </c>
      <c r="H381" s="2">
        <v>0</v>
      </c>
      <c r="I381" s="2">
        <v>0</v>
      </c>
      <c r="J381" s="2">
        <f>ABS(F381-E381)</f>
        <v>0</v>
      </c>
      <c r="K381" s="29">
        <f>J381/E381</f>
        <v>0</v>
      </c>
      <c r="L381" s="2">
        <f>ABS(G381-E381)</f>
        <v>5</v>
      </c>
      <c r="M381" s="50">
        <f>(L381/E381)</f>
        <v>9.2592592592592587E-2</v>
      </c>
      <c r="N381" s="2">
        <v>56</v>
      </c>
      <c r="O381" s="11">
        <f t="shared" si="10"/>
        <v>2</v>
      </c>
      <c r="P381" s="29">
        <f t="shared" si="11"/>
        <v>3.7037037037037035E-2</v>
      </c>
    </row>
    <row r="382" spans="1:16" x14ac:dyDescent="0.35">
      <c r="A382" s="2" t="s">
        <v>48</v>
      </c>
      <c r="B382" s="2" t="s">
        <v>47</v>
      </c>
      <c r="C382" s="2" t="s">
        <v>38</v>
      </c>
      <c r="D382" s="2" t="s">
        <v>32</v>
      </c>
      <c r="E382" s="2">
        <v>37</v>
      </c>
      <c r="F382" s="2">
        <v>39</v>
      </c>
      <c r="G382" s="2">
        <v>38</v>
      </c>
      <c r="H382" s="2">
        <v>0</v>
      </c>
      <c r="I382" s="2">
        <v>0</v>
      </c>
      <c r="J382" s="2">
        <f>ABS(F382-E382)</f>
        <v>2</v>
      </c>
      <c r="K382" s="29">
        <f>J382/E382</f>
        <v>5.4054054054054057E-2</v>
      </c>
      <c r="L382" s="2">
        <f>ABS(G382-E382)</f>
        <v>1</v>
      </c>
      <c r="M382" s="50">
        <f>(L382/E382)</f>
        <v>2.7027027027027029E-2</v>
      </c>
      <c r="N382" s="2">
        <v>39</v>
      </c>
      <c r="O382" s="11">
        <f t="shared" si="10"/>
        <v>2</v>
      </c>
      <c r="P382" s="29">
        <f t="shared" si="11"/>
        <v>5.4054054054054057E-2</v>
      </c>
    </row>
    <row r="383" spans="1:16" x14ac:dyDescent="0.35">
      <c r="A383" s="2" t="s">
        <v>48</v>
      </c>
      <c r="B383" s="2" t="s">
        <v>47</v>
      </c>
      <c r="C383" s="2" t="s">
        <v>38</v>
      </c>
      <c r="D383" s="2" t="s">
        <v>33</v>
      </c>
      <c r="E383" s="2">
        <v>48</v>
      </c>
      <c r="F383" s="2">
        <v>52</v>
      </c>
      <c r="G383" s="2">
        <v>46</v>
      </c>
      <c r="H383" s="2">
        <v>0</v>
      </c>
      <c r="I383" s="2">
        <v>0</v>
      </c>
      <c r="J383" s="2">
        <f>ABS(F383-E383)</f>
        <v>4</v>
      </c>
      <c r="K383" s="29">
        <f>J383/E383</f>
        <v>8.3333333333333329E-2</v>
      </c>
      <c r="L383" s="2">
        <f>ABS(G383-E383)</f>
        <v>2</v>
      </c>
      <c r="M383" s="50">
        <f>(L383/E383)</f>
        <v>4.1666666666666664E-2</v>
      </c>
      <c r="N383" s="2">
        <v>51</v>
      </c>
      <c r="O383" s="11">
        <f t="shared" si="10"/>
        <v>3</v>
      </c>
      <c r="P383" s="29">
        <f t="shared" si="11"/>
        <v>6.25E-2</v>
      </c>
    </row>
    <row r="384" spans="1:16" x14ac:dyDescent="0.35">
      <c r="A384" s="2" t="s">
        <v>48</v>
      </c>
      <c r="B384" s="2" t="s">
        <v>47</v>
      </c>
      <c r="C384" s="2" t="s">
        <v>38</v>
      </c>
      <c r="D384" s="2" t="s">
        <v>34</v>
      </c>
      <c r="E384" s="2">
        <v>57</v>
      </c>
      <c r="F384" s="2">
        <v>61</v>
      </c>
      <c r="G384" s="2">
        <v>57</v>
      </c>
      <c r="H384" s="2">
        <v>0</v>
      </c>
      <c r="I384" s="2">
        <v>0</v>
      </c>
      <c r="J384" s="2">
        <f>ABS(F384-E384)</f>
        <v>4</v>
      </c>
      <c r="K384" s="29">
        <f>J384/E384</f>
        <v>7.0175438596491224E-2</v>
      </c>
      <c r="L384" s="2">
        <f>ABS(G384-E384)</f>
        <v>0</v>
      </c>
      <c r="M384" s="50">
        <f>(L384/E384)</f>
        <v>0</v>
      </c>
      <c r="N384" s="2">
        <v>55</v>
      </c>
      <c r="O384" s="11">
        <f t="shared" si="10"/>
        <v>2</v>
      </c>
      <c r="P384" s="29">
        <f t="shared" si="11"/>
        <v>3.5087719298245612E-2</v>
      </c>
    </row>
    <row r="385" spans="1:16" x14ac:dyDescent="0.35">
      <c r="A385" s="2" t="s">
        <v>48</v>
      </c>
      <c r="B385" s="2" t="s">
        <v>47</v>
      </c>
      <c r="C385" s="2" t="s">
        <v>38</v>
      </c>
      <c r="D385" s="2" t="s">
        <v>35</v>
      </c>
      <c r="E385" s="2">
        <v>64</v>
      </c>
      <c r="F385" s="2">
        <v>66</v>
      </c>
      <c r="G385" s="2">
        <v>68</v>
      </c>
      <c r="H385" s="2">
        <v>1</v>
      </c>
      <c r="I385" s="2">
        <v>0</v>
      </c>
      <c r="J385" s="2">
        <f>ABS(F385-E385)</f>
        <v>2</v>
      </c>
      <c r="K385" s="29">
        <f>J385/E385</f>
        <v>3.125E-2</v>
      </c>
      <c r="L385" s="2">
        <f>ABS(G385-E385)</f>
        <v>4</v>
      </c>
      <c r="M385" s="50">
        <f>(L385/E385)</f>
        <v>6.25E-2</v>
      </c>
      <c r="N385" s="2">
        <v>58</v>
      </c>
      <c r="O385" s="11">
        <f t="shared" si="10"/>
        <v>6</v>
      </c>
      <c r="P385" s="29">
        <f t="shared" si="11"/>
        <v>9.375E-2</v>
      </c>
    </row>
    <row r="386" spans="1:16" x14ac:dyDescent="0.35">
      <c r="A386" s="2" t="s">
        <v>9</v>
      </c>
      <c r="B386" s="2" t="s">
        <v>10</v>
      </c>
      <c r="C386" s="2" t="s">
        <v>11</v>
      </c>
      <c r="D386" s="2" t="s">
        <v>12</v>
      </c>
      <c r="E386" s="2">
        <v>147</v>
      </c>
      <c r="F386" s="2">
        <v>198</v>
      </c>
      <c r="G386" s="2">
        <v>146</v>
      </c>
      <c r="H386" s="2">
        <v>0</v>
      </c>
      <c r="I386" s="2">
        <v>0</v>
      </c>
      <c r="J386" s="2">
        <f>ABS(F386-E386)</f>
        <v>51</v>
      </c>
      <c r="K386" s="29">
        <f>J386/E386</f>
        <v>0.34693877551020408</v>
      </c>
      <c r="L386" s="2">
        <f>ABS(G386-E386)</f>
        <v>1</v>
      </c>
      <c r="M386" s="50">
        <f>(L386/E386)</f>
        <v>6.8027210884353739E-3</v>
      </c>
      <c r="N386" s="2">
        <v>166</v>
      </c>
      <c r="O386" s="11">
        <f t="shared" si="10"/>
        <v>19</v>
      </c>
      <c r="P386" s="29">
        <f t="shared" si="11"/>
        <v>0.12925170068027211</v>
      </c>
    </row>
    <row r="387" spans="1:16" x14ac:dyDescent="0.35">
      <c r="A387" s="2" t="s">
        <v>9</v>
      </c>
      <c r="B387" s="2" t="s">
        <v>10</v>
      </c>
      <c r="C387" s="2" t="s">
        <v>11</v>
      </c>
      <c r="D387" s="2" t="s">
        <v>13</v>
      </c>
      <c r="E387" s="2">
        <v>161</v>
      </c>
      <c r="F387" s="2">
        <v>175</v>
      </c>
      <c r="G387" s="2">
        <v>162</v>
      </c>
      <c r="H387" s="2">
        <v>0</v>
      </c>
      <c r="I387" s="2">
        <v>0</v>
      </c>
      <c r="J387" s="2">
        <f>ABS(F387-E387)</f>
        <v>14</v>
      </c>
      <c r="K387" s="29">
        <f>J387/E387</f>
        <v>8.6956521739130432E-2</v>
      </c>
      <c r="L387" s="2">
        <f>ABS(G387-E387)</f>
        <v>1</v>
      </c>
      <c r="M387" s="50">
        <f>(L387/E387)</f>
        <v>6.2111801242236021E-3</v>
      </c>
      <c r="N387" s="2">
        <v>167</v>
      </c>
      <c r="O387" s="11">
        <f t="shared" ref="O387:O450" si="12">ABS(N387-E387)</f>
        <v>6</v>
      </c>
      <c r="P387" s="29">
        <f t="shared" ref="P387:P450" si="13">O387/E387</f>
        <v>3.7267080745341616E-2</v>
      </c>
    </row>
    <row r="388" spans="1:16" x14ac:dyDescent="0.35">
      <c r="A388" s="2" t="s">
        <v>9</v>
      </c>
      <c r="B388" s="2" t="s">
        <v>10</v>
      </c>
      <c r="C388" s="2" t="s">
        <v>11</v>
      </c>
      <c r="D388" s="2" t="s">
        <v>14</v>
      </c>
      <c r="E388" s="2">
        <v>104</v>
      </c>
      <c r="F388" s="2">
        <v>134</v>
      </c>
      <c r="G388" s="2">
        <v>91</v>
      </c>
      <c r="H388" s="2">
        <v>0</v>
      </c>
      <c r="I388" s="2">
        <v>1</v>
      </c>
      <c r="J388" s="2">
        <f>ABS(F388-E388)</f>
        <v>30</v>
      </c>
      <c r="K388" s="29">
        <f>J388/E388</f>
        <v>0.28846153846153844</v>
      </c>
      <c r="L388" s="2">
        <f>ABS(G388-E388)</f>
        <v>13</v>
      </c>
      <c r="M388" s="50">
        <f>(L388/E388)</f>
        <v>0.125</v>
      </c>
      <c r="N388" s="2">
        <v>122</v>
      </c>
      <c r="O388" s="11">
        <f t="shared" si="12"/>
        <v>18</v>
      </c>
      <c r="P388" s="29">
        <f t="shared" si="13"/>
        <v>0.17307692307692307</v>
      </c>
    </row>
    <row r="389" spans="1:16" x14ac:dyDescent="0.35">
      <c r="A389" s="2" t="s">
        <v>9</v>
      </c>
      <c r="B389" s="2" t="s">
        <v>10</v>
      </c>
      <c r="C389" s="2" t="s">
        <v>11</v>
      </c>
      <c r="D389" s="2" t="s">
        <v>15</v>
      </c>
      <c r="E389" s="2">
        <v>94</v>
      </c>
      <c r="F389" s="2">
        <v>104</v>
      </c>
      <c r="G389" s="2">
        <v>93</v>
      </c>
      <c r="H389" s="2">
        <v>0</v>
      </c>
      <c r="I389" s="2">
        <v>1</v>
      </c>
      <c r="J389" s="2">
        <f>ABS(F389-E389)</f>
        <v>10</v>
      </c>
      <c r="K389" s="29">
        <f>J389/E389</f>
        <v>0.10638297872340426</v>
      </c>
      <c r="L389" s="2">
        <f>ABS(G389-E389)</f>
        <v>1</v>
      </c>
      <c r="M389" s="50">
        <f>(L389/E389)</f>
        <v>1.0638297872340425E-2</v>
      </c>
      <c r="N389" s="2">
        <v>96</v>
      </c>
      <c r="O389" s="11">
        <f t="shared" si="12"/>
        <v>2</v>
      </c>
      <c r="P389" s="29">
        <f t="shared" si="13"/>
        <v>2.1276595744680851E-2</v>
      </c>
    </row>
    <row r="390" spans="1:16" x14ac:dyDescent="0.35">
      <c r="A390" s="2" t="s">
        <v>9</v>
      </c>
      <c r="B390" s="2" t="s">
        <v>10</v>
      </c>
      <c r="C390" s="2" t="s">
        <v>11</v>
      </c>
      <c r="D390" s="2" t="s">
        <v>16</v>
      </c>
      <c r="E390" s="2">
        <v>166</v>
      </c>
      <c r="F390" s="2">
        <v>194</v>
      </c>
      <c r="G390" s="2">
        <v>169</v>
      </c>
      <c r="H390" s="2">
        <v>0</v>
      </c>
      <c r="I390" s="2">
        <v>0</v>
      </c>
      <c r="J390" s="2">
        <f>ABS(F390-E390)</f>
        <v>28</v>
      </c>
      <c r="K390" s="29">
        <f>J390/E390</f>
        <v>0.16867469879518071</v>
      </c>
      <c r="L390" s="2">
        <f>ABS(G390-E390)</f>
        <v>3</v>
      </c>
      <c r="M390" s="50">
        <f>(L390/E390)</f>
        <v>1.8072289156626505E-2</v>
      </c>
      <c r="N390" s="2">
        <v>159</v>
      </c>
      <c r="O390" s="11">
        <f t="shared" si="12"/>
        <v>7</v>
      </c>
      <c r="P390" s="29">
        <f t="shared" si="13"/>
        <v>4.2168674698795178E-2</v>
      </c>
    </row>
    <row r="391" spans="1:16" x14ac:dyDescent="0.35">
      <c r="A391" s="2" t="s">
        <v>9</v>
      </c>
      <c r="B391" s="2" t="s">
        <v>10</v>
      </c>
      <c r="C391" s="2" t="s">
        <v>11</v>
      </c>
      <c r="D391" s="2" t="s">
        <v>17</v>
      </c>
      <c r="E391" s="2">
        <v>164</v>
      </c>
      <c r="F391" s="2">
        <v>188</v>
      </c>
      <c r="G391" s="2">
        <v>169</v>
      </c>
      <c r="H391" s="2">
        <v>0</v>
      </c>
      <c r="I391" s="2">
        <v>0</v>
      </c>
      <c r="J391" s="2">
        <f>ABS(F391-E391)</f>
        <v>24</v>
      </c>
      <c r="K391" s="29">
        <f>J391/E391</f>
        <v>0.14634146341463414</v>
      </c>
      <c r="L391" s="2">
        <f>ABS(G391-E391)</f>
        <v>5</v>
      </c>
      <c r="M391" s="50">
        <f>(L391/E391)</f>
        <v>3.048780487804878E-2</v>
      </c>
      <c r="N391" s="2">
        <v>155</v>
      </c>
      <c r="O391" s="11">
        <f t="shared" si="12"/>
        <v>9</v>
      </c>
      <c r="P391" s="29">
        <f t="shared" si="13"/>
        <v>5.4878048780487805E-2</v>
      </c>
    </row>
    <row r="392" spans="1:16" x14ac:dyDescent="0.35">
      <c r="A392" s="2" t="s">
        <v>9</v>
      </c>
      <c r="B392" s="2" t="s">
        <v>10</v>
      </c>
      <c r="C392" s="2" t="s">
        <v>11</v>
      </c>
      <c r="D392" s="2" t="s">
        <v>18</v>
      </c>
      <c r="E392" s="2">
        <v>126</v>
      </c>
      <c r="F392" s="2">
        <v>133</v>
      </c>
      <c r="G392" s="2">
        <v>131</v>
      </c>
      <c r="H392" s="2">
        <v>0</v>
      </c>
      <c r="I392" s="2">
        <v>0</v>
      </c>
      <c r="J392" s="2">
        <f>ABS(F392-E392)</f>
        <v>7</v>
      </c>
      <c r="K392" s="29">
        <f>J392/E392</f>
        <v>5.5555555555555552E-2</v>
      </c>
      <c r="L392" s="2">
        <f>ABS(G392-E392)</f>
        <v>5</v>
      </c>
      <c r="M392" s="50">
        <f>(L392/E392)</f>
        <v>3.968253968253968E-2</v>
      </c>
      <c r="N392" s="2">
        <v>132</v>
      </c>
      <c r="O392" s="11">
        <f t="shared" si="12"/>
        <v>6</v>
      </c>
      <c r="P392" s="29">
        <f t="shared" si="13"/>
        <v>4.7619047619047616E-2</v>
      </c>
    </row>
    <row r="393" spans="1:16" x14ac:dyDescent="0.35">
      <c r="A393" s="2" t="s">
        <v>9</v>
      </c>
      <c r="B393" s="2" t="s">
        <v>10</v>
      </c>
      <c r="C393" s="2" t="s">
        <v>11</v>
      </c>
      <c r="D393" s="2" t="s">
        <v>19</v>
      </c>
      <c r="E393" s="2">
        <v>145</v>
      </c>
      <c r="F393" s="2">
        <v>147</v>
      </c>
      <c r="G393" s="2">
        <v>142</v>
      </c>
      <c r="H393" s="2">
        <v>1</v>
      </c>
      <c r="I393" s="2">
        <v>0</v>
      </c>
      <c r="J393" s="2">
        <f>ABS(F393-E393)</f>
        <v>2</v>
      </c>
      <c r="K393" s="29">
        <f>J393/E393</f>
        <v>1.3793103448275862E-2</v>
      </c>
      <c r="L393" s="2">
        <f>ABS(G393-E393)</f>
        <v>3</v>
      </c>
      <c r="M393" s="50">
        <f>(L393/E393)</f>
        <v>2.0689655172413793E-2</v>
      </c>
      <c r="N393" s="2">
        <v>136</v>
      </c>
      <c r="O393" s="11">
        <f t="shared" si="12"/>
        <v>9</v>
      </c>
      <c r="P393" s="29">
        <f t="shared" si="13"/>
        <v>6.2068965517241378E-2</v>
      </c>
    </row>
    <row r="394" spans="1:16" x14ac:dyDescent="0.35">
      <c r="A394" s="2" t="s">
        <v>9</v>
      </c>
      <c r="B394" s="2" t="s">
        <v>10</v>
      </c>
      <c r="C394" s="2" t="s">
        <v>11</v>
      </c>
      <c r="D394" s="2" t="s">
        <v>20</v>
      </c>
      <c r="E394" s="2">
        <v>125</v>
      </c>
      <c r="F394" s="2">
        <v>124</v>
      </c>
      <c r="G394" s="2">
        <v>111</v>
      </c>
      <c r="H394" s="2">
        <v>1</v>
      </c>
      <c r="I394" s="2">
        <v>0</v>
      </c>
      <c r="J394" s="2">
        <f>ABS(F394-E394)</f>
        <v>1</v>
      </c>
      <c r="K394" s="29">
        <f>J394/E394</f>
        <v>8.0000000000000002E-3</v>
      </c>
      <c r="L394" s="2">
        <f>ABS(G394-E394)</f>
        <v>14</v>
      </c>
      <c r="M394" s="50">
        <f>(L394/E394)</f>
        <v>0.112</v>
      </c>
      <c r="N394" s="2">
        <v>124</v>
      </c>
      <c r="O394" s="11">
        <f t="shared" si="12"/>
        <v>1</v>
      </c>
      <c r="P394" s="29">
        <f t="shared" si="13"/>
        <v>8.0000000000000002E-3</v>
      </c>
    </row>
    <row r="395" spans="1:16" x14ac:dyDescent="0.35">
      <c r="A395" s="2" t="s">
        <v>9</v>
      </c>
      <c r="B395" s="2" t="s">
        <v>10</v>
      </c>
      <c r="C395" s="2" t="s">
        <v>11</v>
      </c>
      <c r="D395" s="2" t="s">
        <v>21</v>
      </c>
      <c r="E395" s="2">
        <v>112</v>
      </c>
      <c r="F395" s="2">
        <v>135</v>
      </c>
      <c r="G395" s="2">
        <v>101</v>
      </c>
      <c r="H395" s="2">
        <v>1</v>
      </c>
      <c r="I395" s="2">
        <v>0</v>
      </c>
      <c r="J395" s="2">
        <f>ABS(F395-E395)</f>
        <v>23</v>
      </c>
      <c r="K395" s="29">
        <f>J395/E395</f>
        <v>0.20535714285714285</v>
      </c>
      <c r="L395" s="2">
        <f>ABS(G395-E395)</f>
        <v>11</v>
      </c>
      <c r="M395" s="50">
        <f>(L395/E395)</f>
        <v>9.8214285714285712E-2</v>
      </c>
      <c r="N395" s="2">
        <v>120</v>
      </c>
      <c r="O395" s="11">
        <f t="shared" si="12"/>
        <v>8</v>
      </c>
      <c r="P395" s="29">
        <f t="shared" si="13"/>
        <v>7.1428571428571425E-2</v>
      </c>
    </row>
    <row r="396" spans="1:16" x14ac:dyDescent="0.35">
      <c r="A396" s="2" t="s">
        <v>9</v>
      </c>
      <c r="B396" s="2" t="s">
        <v>10</v>
      </c>
      <c r="C396" s="2" t="s">
        <v>11</v>
      </c>
      <c r="D396" s="2" t="s">
        <v>22</v>
      </c>
      <c r="E396" s="2">
        <v>71</v>
      </c>
      <c r="F396" s="2">
        <v>85</v>
      </c>
      <c r="G396" s="2">
        <v>79</v>
      </c>
      <c r="H396" s="2">
        <v>0</v>
      </c>
      <c r="I396" s="2">
        <v>1</v>
      </c>
      <c r="J396" s="2">
        <f>ABS(F396-E396)</f>
        <v>14</v>
      </c>
      <c r="K396" s="29">
        <f>J396/E396</f>
        <v>0.19718309859154928</v>
      </c>
      <c r="L396" s="2">
        <f>ABS(G396-E396)</f>
        <v>8</v>
      </c>
      <c r="M396" s="50">
        <f>(L396/E396)</f>
        <v>0.11267605633802817</v>
      </c>
      <c r="N396" s="2">
        <v>75</v>
      </c>
      <c r="O396" s="11">
        <f t="shared" si="12"/>
        <v>4</v>
      </c>
      <c r="P396" s="29">
        <f t="shared" si="13"/>
        <v>5.6338028169014086E-2</v>
      </c>
    </row>
    <row r="397" spans="1:16" x14ac:dyDescent="0.35">
      <c r="A397" s="2" t="s">
        <v>9</v>
      </c>
      <c r="B397" s="2" t="s">
        <v>10</v>
      </c>
      <c r="C397" s="2" t="s">
        <v>11</v>
      </c>
      <c r="D397" s="2" t="s">
        <v>23</v>
      </c>
      <c r="E397" s="2">
        <v>168</v>
      </c>
      <c r="F397" s="2">
        <v>175</v>
      </c>
      <c r="G397" s="2">
        <v>159</v>
      </c>
      <c r="H397" s="2">
        <v>1</v>
      </c>
      <c r="I397" s="2">
        <v>0</v>
      </c>
      <c r="J397" s="2">
        <f>ABS(F397-E397)</f>
        <v>7</v>
      </c>
      <c r="K397" s="29">
        <f>J397/E397</f>
        <v>4.1666666666666664E-2</v>
      </c>
      <c r="L397" s="2">
        <f>ABS(G397-E397)</f>
        <v>9</v>
      </c>
      <c r="M397" s="50">
        <f>(L397/E397)</f>
        <v>5.3571428571428568E-2</v>
      </c>
      <c r="N397" s="2">
        <v>158</v>
      </c>
      <c r="O397" s="11">
        <f t="shared" si="12"/>
        <v>10</v>
      </c>
      <c r="P397" s="29">
        <f t="shared" si="13"/>
        <v>5.9523809523809521E-2</v>
      </c>
    </row>
    <row r="398" spans="1:16" x14ac:dyDescent="0.35">
      <c r="A398" s="2" t="s">
        <v>9</v>
      </c>
      <c r="B398" s="2" t="s">
        <v>10</v>
      </c>
      <c r="C398" s="2" t="s">
        <v>11</v>
      </c>
      <c r="D398" s="2" t="s">
        <v>24</v>
      </c>
      <c r="E398" s="2">
        <v>135</v>
      </c>
      <c r="F398" s="2">
        <v>135</v>
      </c>
      <c r="G398" s="2">
        <v>139</v>
      </c>
      <c r="H398" s="2">
        <v>0</v>
      </c>
      <c r="I398" s="2">
        <v>0</v>
      </c>
      <c r="J398" s="2">
        <f>ABS(F398-E398)</f>
        <v>0</v>
      </c>
      <c r="K398" s="29">
        <f>J398/E398</f>
        <v>0</v>
      </c>
      <c r="L398" s="2">
        <f>ABS(G398-E398)</f>
        <v>4</v>
      </c>
      <c r="M398" s="50">
        <f>(L398/E398)</f>
        <v>2.9629629629629631E-2</v>
      </c>
      <c r="N398" s="2">
        <v>136</v>
      </c>
      <c r="O398" s="11">
        <f t="shared" si="12"/>
        <v>1</v>
      </c>
      <c r="P398" s="29">
        <f t="shared" si="13"/>
        <v>7.4074074074074077E-3</v>
      </c>
    </row>
    <row r="399" spans="1:16" x14ac:dyDescent="0.35">
      <c r="A399" s="2" t="s">
        <v>9</v>
      </c>
      <c r="B399" s="2" t="s">
        <v>10</v>
      </c>
      <c r="C399" s="2" t="s">
        <v>11</v>
      </c>
      <c r="D399" s="2" t="s">
        <v>25</v>
      </c>
      <c r="E399" s="2">
        <v>162</v>
      </c>
      <c r="F399" s="2">
        <v>187</v>
      </c>
      <c r="G399" s="2">
        <v>166</v>
      </c>
      <c r="H399" s="2">
        <v>1</v>
      </c>
      <c r="I399" s="2">
        <v>0</v>
      </c>
      <c r="J399" s="2">
        <f>ABS(F399-E399)</f>
        <v>25</v>
      </c>
      <c r="K399" s="29">
        <f>J399/E399</f>
        <v>0.15432098765432098</v>
      </c>
      <c r="L399" s="2">
        <f>ABS(G399-E399)</f>
        <v>4</v>
      </c>
      <c r="M399" s="50">
        <f>(L399/E399)</f>
        <v>2.4691358024691357E-2</v>
      </c>
      <c r="N399" s="2">
        <v>162</v>
      </c>
      <c r="O399" s="11">
        <f t="shared" si="12"/>
        <v>0</v>
      </c>
      <c r="P399" s="29">
        <f t="shared" si="13"/>
        <v>0</v>
      </c>
    </row>
    <row r="400" spans="1:16" x14ac:dyDescent="0.35">
      <c r="A400" s="2" t="s">
        <v>9</v>
      </c>
      <c r="B400" s="2" t="s">
        <v>10</v>
      </c>
      <c r="C400" s="2" t="s">
        <v>11</v>
      </c>
      <c r="D400" s="2" t="s">
        <v>26</v>
      </c>
      <c r="E400" s="2">
        <v>166</v>
      </c>
      <c r="F400" s="2">
        <v>187</v>
      </c>
      <c r="G400" s="2">
        <v>178</v>
      </c>
      <c r="H400" s="2">
        <v>1</v>
      </c>
      <c r="I400" s="2">
        <v>0</v>
      </c>
      <c r="J400" s="2">
        <f>ABS(F400-E400)</f>
        <v>21</v>
      </c>
      <c r="K400" s="29">
        <f>J400/E400</f>
        <v>0.12650602409638553</v>
      </c>
      <c r="L400" s="2">
        <f>ABS(G400-E400)</f>
        <v>12</v>
      </c>
      <c r="M400" s="50">
        <f>(L400/E400)</f>
        <v>7.2289156626506021E-2</v>
      </c>
      <c r="N400" s="2">
        <v>169</v>
      </c>
      <c r="O400" s="11">
        <f t="shared" si="12"/>
        <v>3</v>
      </c>
      <c r="P400" s="29">
        <f t="shared" si="13"/>
        <v>1.8072289156626505E-2</v>
      </c>
    </row>
    <row r="401" spans="1:16" x14ac:dyDescent="0.35">
      <c r="A401" s="2" t="s">
        <v>9</v>
      </c>
      <c r="B401" s="2" t="s">
        <v>10</v>
      </c>
      <c r="C401" s="2" t="s">
        <v>11</v>
      </c>
      <c r="D401" s="2" t="s">
        <v>27</v>
      </c>
      <c r="E401" s="2">
        <v>158</v>
      </c>
      <c r="F401" s="2">
        <v>187</v>
      </c>
      <c r="G401" s="2">
        <v>144</v>
      </c>
      <c r="H401" s="2">
        <v>0</v>
      </c>
      <c r="I401" s="2">
        <v>0</v>
      </c>
      <c r="J401" s="2">
        <f>ABS(F401-E401)</f>
        <v>29</v>
      </c>
      <c r="K401" s="29">
        <f>J401/E401</f>
        <v>0.18354430379746836</v>
      </c>
      <c r="L401" s="2">
        <f>ABS(G401-E401)</f>
        <v>14</v>
      </c>
      <c r="M401" s="50">
        <f>(L401/E401)</f>
        <v>8.8607594936708861E-2</v>
      </c>
      <c r="N401" s="2">
        <v>162</v>
      </c>
      <c r="O401" s="11">
        <f t="shared" si="12"/>
        <v>4</v>
      </c>
      <c r="P401" s="29">
        <f t="shared" si="13"/>
        <v>2.5316455696202531E-2</v>
      </c>
    </row>
    <row r="402" spans="1:16" x14ac:dyDescent="0.35">
      <c r="A402" s="2" t="s">
        <v>9</v>
      </c>
      <c r="B402" s="2" t="s">
        <v>10</v>
      </c>
      <c r="C402" s="2" t="s">
        <v>11</v>
      </c>
      <c r="D402" s="2" t="s">
        <v>28</v>
      </c>
      <c r="E402" s="2">
        <v>87</v>
      </c>
      <c r="F402" s="2">
        <v>105</v>
      </c>
      <c r="G402" s="2">
        <v>83</v>
      </c>
      <c r="H402" s="2">
        <v>0</v>
      </c>
      <c r="I402" s="2">
        <v>1</v>
      </c>
      <c r="J402" s="2">
        <f>ABS(F402-E402)</f>
        <v>18</v>
      </c>
      <c r="K402" s="29">
        <f>J402/E402</f>
        <v>0.20689655172413793</v>
      </c>
      <c r="L402" s="2">
        <f>ABS(G402-E402)</f>
        <v>4</v>
      </c>
      <c r="M402" s="50">
        <f>(L402/E402)</f>
        <v>4.5977011494252873E-2</v>
      </c>
      <c r="N402" s="2">
        <v>98</v>
      </c>
      <c r="O402" s="11">
        <f t="shared" si="12"/>
        <v>11</v>
      </c>
      <c r="P402" s="29">
        <f t="shared" si="13"/>
        <v>0.12643678160919541</v>
      </c>
    </row>
    <row r="403" spans="1:16" x14ac:dyDescent="0.35">
      <c r="A403" s="2" t="s">
        <v>9</v>
      </c>
      <c r="B403" s="2" t="s">
        <v>10</v>
      </c>
      <c r="C403" s="2" t="s">
        <v>11</v>
      </c>
      <c r="D403" s="2" t="s">
        <v>29</v>
      </c>
      <c r="E403" s="2">
        <v>139</v>
      </c>
      <c r="F403" s="2">
        <v>156</v>
      </c>
      <c r="G403" s="2">
        <v>132</v>
      </c>
      <c r="H403" s="2">
        <v>0</v>
      </c>
      <c r="I403" s="2">
        <v>0</v>
      </c>
      <c r="J403" s="2">
        <f>ABS(F403-E403)</f>
        <v>17</v>
      </c>
      <c r="K403" s="29">
        <f>J403/E403</f>
        <v>0.1223021582733813</v>
      </c>
      <c r="L403" s="2">
        <f>ABS(G403-E403)</f>
        <v>7</v>
      </c>
      <c r="M403" s="50">
        <f>(L403/E403)</f>
        <v>5.0359712230215826E-2</v>
      </c>
      <c r="N403" s="2">
        <v>140</v>
      </c>
      <c r="O403" s="11">
        <f t="shared" si="12"/>
        <v>1</v>
      </c>
      <c r="P403" s="29">
        <f t="shared" si="13"/>
        <v>7.1942446043165471E-3</v>
      </c>
    </row>
    <row r="404" spans="1:16" x14ac:dyDescent="0.35">
      <c r="A404" s="2" t="s">
        <v>9</v>
      </c>
      <c r="B404" s="2" t="s">
        <v>10</v>
      </c>
      <c r="C404" s="2" t="s">
        <v>11</v>
      </c>
      <c r="D404" s="2" t="s">
        <v>30</v>
      </c>
      <c r="E404" s="2">
        <v>172</v>
      </c>
      <c r="F404" s="2">
        <v>178</v>
      </c>
      <c r="G404" s="2">
        <v>165</v>
      </c>
      <c r="H404" s="2">
        <v>0</v>
      </c>
      <c r="I404" s="2">
        <v>0</v>
      </c>
      <c r="J404" s="2">
        <f>ABS(F404-E404)</f>
        <v>6</v>
      </c>
      <c r="K404" s="29">
        <f>J404/E404</f>
        <v>3.4883720930232558E-2</v>
      </c>
      <c r="L404" s="2">
        <f>ABS(G404-E404)</f>
        <v>7</v>
      </c>
      <c r="M404" s="50">
        <f>(L404/E404)</f>
        <v>4.0697674418604654E-2</v>
      </c>
      <c r="N404" s="2">
        <v>155</v>
      </c>
      <c r="O404" s="11">
        <f t="shared" si="12"/>
        <v>17</v>
      </c>
      <c r="P404" s="29">
        <f t="shared" si="13"/>
        <v>9.8837209302325577E-2</v>
      </c>
    </row>
    <row r="405" spans="1:16" x14ac:dyDescent="0.35">
      <c r="A405" s="2" t="s">
        <v>9</v>
      </c>
      <c r="B405" s="2" t="s">
        <v>10</v>
      </c>
      <c r="C405" s="2" t="s">
        <v>11</v>
      </c>
      <c r="D405" s="2" t="s">
        <v>31</v>
      </c>
      <c r="E405" s="2">
        <v>131</v>
      </c>
      <c r="F405" s="2">
        <v>170</v>
      </c>
      <c r="G405" s="2">
        <v>136</v>
      </c>
      <c r="H405" s="2">
        <v>0</v>
      </c>
      <c r="I405" s="2">
        <v>0</v>
      </c>
      <c r="J405" s="2">
        <f>ABS(F405-E405)</f>
        <v>39</v>
      </c>
      <c r="K405" s="29">
        <f>J405/E405</f>
        <v>0.29770992366412213</v>
      </c>
      <c r="L405" s="2">
        <f>ABS(G405-E405)</f>
        <v>5</v>
      </c>
      <c r="M405" s="50">
        <f>(L405/E405)</f>
        <v>3.8167938931297711E-2</v>
      </c>
      <c r="N405" s="2">
        <v>145</v>
      </c>
      <c r="O405" s="11">
        <f t="shared" si="12"/>
        <v>14</v>
      </c>
      <c r="P405" s="29">
        <f t="shared" si="13"/>
        <v>0.10687022900763359</v>
      </c>
    </row>
    <row r="406" spans="1:16" x14ac:dyDescent="0.35">
      <c r="A406" s="2" t="s">
        <v>9</v>
      </c>
      <c r="B406" s="2" t="s">
        <v>10</v>
      </c>
      <c r="C406" s="2" t="s">
        <v>11</v>
      </c>
      <c r="D406" s="2" t="s">
        <v>32</v>
      </c>
      <c r="E406" s="2">
        <v>114</v>
      </c>
      <c r="F406" s="2">
        <v>126</v>
      </c>
      <c r="G406" s="2">
        <v>105</v>
      </c>
      <c r="H406" s="2">
        <v>1</v>
      </c>
      <c r="I406" s="2">
        <v>0</v>
      </c>
      <c r="J406" s="2">
        <f>ABS(F406-E406)</f>
        <v>12</v>
      </c>
      <c r="K406" s="29">
        <f>J406/E406</f>
        <v>0.10526315789473684</v>
      </c>
      <c r="L406" s="2">
        <f>ABS(G406-E406)</f>
        <v>9</v>
      </c>
      <c r="M406" s="50">
        <f>(L406/E406)</f>
        <v>7.8947368421052627E-2</v>
      </c>
      <c r="N406" s="2">
        <v>114</v>
      </c>
      <c r="O406" s="11">
        <f t="shared" si="12"/>
        <v>0</v>
      </c>
      <c r="P406" s="29">
        <f t="shared" si="13"/>
        <v>0</v>
      </c>
    </row>
    <row r="407" spans="1:16" x14ac:dyDescent="0.35">
      <c r="A407" s="2" t="s">
        <v>9</v>
      </c>
      <c r="B407" s="2" t="s">
        <v>10</v>
      </c>
      <c r="C407" s="2" t="s">
        <v>11</v>
      </c>
      <c r="D407" s="2" t="s">
        <v>33</v>
      </c>
      <c r="E407" s="2">
        <v>122</v>
      </c>
      <c r="F407" s="2">
        <v>129</v>
      </c>
      <c r="G407" s="2">
        <v>119</v>
      </c>
      <c r="H407" s="2">
        <v>0</v>
      </c>
      <c r="I407" s="2">
        <v>0</v>
      </c>
      <c r="J407" s="2">
        <f>ABS(F407-E407)</f>
        <v>7</v>
      </c>
      <c r="K407" s="29">
        <f>J407/E407</f>
        <v>5.737704918032787E-2</v>
      </c>
      <c r="L407" s="2">
        <f>ABS(G407-E407)</f>
        <v>3</v>
      </c>
      <c r="M407" s="50">
        <f>(L407/E407)</f>
        <v>2.4590163934426229E-2</v>
      </c>
      <c r="N407" s="2">
        <v>122</v>
      </c>
      <c r="O407" s="11">
        <f t="shared" si="12"/>
        <v>0</v>
      </c>
      <c r="P407" s="29">
        <f t="shared" si="13"/>
        <v>0</v>
      </c>
    </row>
    <row r="408" spans="1:16" x14ac:dyDescent="0.35">
      <c r="A408" s="2" t="s">
        <v>9</v>
      </c>
      <c r="B408" s="2" t="s">
        <v>10</v>
      </c>
      <c r="C408" s="2" t="s">
        <v>11</v>
      </c>
      <c r="D408" s="2" t="s">
        <v>34</v>
      </c>
      <c r="E408" s="2">
        <v>74</v>
      </c>
      <c r="F408" s="2">
        <v>74</v>
      </c>
      <c r="G408" s="2">
        <v>70</v>
      </c>
      <c r="H408" s="2">
        <v>0</v>
      </c>
      <c r="I408" s="2">
        <v>1</v>
      </c>
      <c r="J408" s="2">
        <f>ABS(F408-E408)</f>
        <v>0</v>
      </c>
      <c r="K408" s="29">
        <f>J408/E408</f>
        <v>0</v>
      </c>
      <c r="L408" s="2">
        <f>ABS(G408-E408)</f>
        <v>4</v>
      </c>
      <c r="M408" s="50">
        <f>(L408/E408)</f>
        <v>5.4054054054054057E-2</v>
      </c>
      <c r="N408" s="2">
        <v>72</v>
      </c>
      <c r="O408" s="11">
        <f t="shared" si="12"/>
        <v>2</v>
      </c>
      <c r="P408" s="29">
        <f t="shared" si="13"/>
        <v>2.7027027027027029E-2</v>
      </c>
    </row>
    <row r="409" spans="1:16" x14ac:dyDescent="0.35">
      <c r="A409" s="2" t="s">
        <v>9</v>
      </c>
      <c r="B409" s="2" t="s">
        <v>10</v>
      </c>
      <c r="C409" s="2" t="s">
        <v>11</v>
      </c>
      <c r="D409" s="2" t="s">
        <v>35</v>
      </c>
      <c r="E409" s="2">
        <v>144</v>
      </c>
      <c r="F409" s="2">
        <v>148</v>
      </c>
      <c r="G409" s="2">
        <v>150</v>
      </c>
      <c r="H409" s="2">
        <v>0</v>
      </c>
      <c r="I409" s="2">
        <v>0</v>
      </c>
      <c r="J409" s="2">
        <f>ABS(F409-E409)</f>
        <v>4</v>
      </c>
      <c r="K409" s="29">
        <f>J409/E409</f>
        <v>2.7777777777777776E-2</v>
      </c>
      <c r="L409" s="2">
        <f>ABS(G409-E409)</f>
        <v>6</v>
      </c>
      <c r="M409" s="50">
        <f>(L409/E409)</f>
        <v>4.1666666666666664E-2</v>
      </c>
      <c r="N409" s="2">
        <v>141</v>
      </c>
      <c r="O409" s="11">
        <f t="shared" si="12"/>
        <v>3</v>
      </c>
      <c r="P409" s="29">
        <f t="shared" si="13"/>
        <v>2.0833333333333332E-2</v>
      </c>
    </row>
    <row r="410" spans="1:16" x14ac:dyDescent="0.35">
      <c r="A410" s="2" t="s">
        <v>9</v>
      </c>
      <c r="B410" s="2" t="s">
        <v>10</v>
      </c>
      <c r="C410" s="2" t="s">
        <v>36</v>
      </c>
      <c r="D410" s="2" t="s">
        <v>12</v>
      </c>
      <c r="E410" s="2">
        <v>121</v>
      </c>
      <c r="F410" s="2">
        <v>119</v>
      </c>
      <c r="G410" s="2">
        <v>109</v>
      </c>
      <c r="H410" s="2">
        <v>0</v>
      </c>
      <c r="I410" s="2">
        <v>0</v>
      </c>
      <c r="J410" s="2">
        <f>ABS(F410-E410)</f>
        <v>2</v>
      </c>
      <c r="K410" s="29">
        <f>J410/E410</f>
        <v>1.6528925619834711E-2</v>
      </c>
      <c r="L410" s="2">
        <f>ABS(G410-E410)</f>
        <v>12</v>
      </c>
      <c r="M410" s="50">
        <f>(L410/E410)</f>
        <v>9.9173553719008267E-2</v>
      </c>
      <c r="N410" s="2">
        <v>113</v>
      </c>
      <c r="O410" s="11">
        <f t="shared" si="12"/>
        <v>8</v>
      </c>
      <c r="P410" s="29">
        <f t="shared" si="13"/>
        <v>6.6115702479338845E-2</v>
      </c>
    </row>
    <row r="411" spans="1:16" x14ac:dyDescent="0.35">
      <c r="A411" s="2" t="s">
        <v>9</v>
      </c>
      <c r="B411" s="2" t="s">
        <v>10</v>
      </c>
      <c r="C411" s="2" t="s">
        <v>36</v>
      </c>
      <c r="D411" s="2" t="s">
        <v>13</v>
      </c>
      <c r="E411" s="2">
        <v>126</v>
      </c>
      <c r="F411" s="2">
        <v>126</v>
      </c>
      <c r="G411" s="2">
        <v>141</v>
      </c>
      <c r="H411" s="2">
        <v>0</v>
      </c>
      <c r="I411" s="2">
        <v>0</v>
      </c>
      <c r="J411" s="2">
        <f>ABS(F411-E411)</f>
        <v>0</v>
      </c>
      <c r="K411" s="29">
        <f>J411/E411</f>
        <v>0</v>
      </c>
      <c r="L411" s="2">
        <f>ABS(G411-E411)</f>
        <v>15</v>
      </c>
      <c r="M411" s="50">
        <f>(L411/E411)</f>
        <v>0.11904761904761904</v>
      </c>
      <c r="N411" s="2">
        <v>123</v>
      </c>
      <c r="O411" s="11">
        <f t="shared" si="12"/>
        <v>3</v>
      </c>
      <c r="P411" s="29">
        <f t="shared" si="13"/>
        <v>2.3809523809523808E-2</v>
      </c>
    </row>
    <row r="412" spans="1:16" x14ac:dyDescent="0.35">
      <c r="A412" s="2" t="s">
        <v>9</v>
      </c>
      <c r="B412" s="2" t="s">
        <v>10</v>
      </c>
      <c r="C412" s="2" t="s">
        <v>36</v>
      </c>
      <c r="D412" s="2" t="s">
        <v>14</v>
      </c>
      <c r="E412" s="2">
        <v>127</v>
      </c>
      <c r="F412" s="2">
        <v>130</v>
      </c>
      <c r="G412" s="2">
        <v>126</v>
      </c>
      <c r="H412" s="2">
        <v>0</v>
      </c>
      <c r="I412" s="2">
        <v>0</v>
      </c>
      <c r="J412" s="2">
        <f>ABS(F412-E412)</f>
        <v>3</v>
      </c>
      <c r="K412" s="29">
        <f>J412/E412</f>
        <v>2.3622047244094488E-2</v>
      </c>
      <c r="L412" s="2">
        <f>ABS(G412-E412)</f>
        <v>1</v>
      </c>
      <c r="M412" s="50">
        <f>(L412/E412)</f>
        <v>7.874015748031496E-3</v>
      </c>
      <c r="N412" s="2">
        <v>130</v>
      </c>
      <c r="O412" s="11">
        <f t="shared" si="12"/>
        <v>3</v>
      </c>
      <c r="P412" s="29">
        <f t="shared" si="13"/>
        <v>2.3622047244094488E-2</v>
      </c>
    </row>
    <row r="413" spans="1:16" x14ac:dyDescent="0.35">
      <c r="A413" s="2" t="s">
        <v>9</v>
      </c>
      <c r="B413" s="2" t="s">
        <v>10</v>
      </c>
      <c r="C413" s="2" t="s">
        <v>36</v>
      </c>
      <c r="D413" s="2" t="s">
        <v>15</v>
      </c>
      <c r="E413" s="2">
        <v>111</v>
      </c>
      <c r="F413" s="2">
        <v>123</v>
      </c>
      <c r="G413" s="2">
        <v>115</v>
      </c>
      <c r="H413" s="2">
        <v>1</v>
      </c>
      <c r="I413" s="2">
        <v>0</v>
      </c>
      <c r="J413" s="2">
        <f>ABS(F413-E413)</f>
        <v>12</v>
      </c>
      <c r="K413" s="29">
        <f>J413/E413</f>
        <v>0.10810810810810811</v>
      </c>
      <c r="L413" s="2">
        <f>ABS(G413-E413)</f>
        <v>4</v>
      </c>
      <c r="M413" s="50">
        <f>(L413/E413)</f>
        <v>3.6036036036036036E-2</v>
      </c>
      <c r="N413" s="2">
        <v>123</v>
      </c>
      <c r="O413" s="11">
        <f t="shared" si="12"/>
        <v>12</v>
      </c>
      <c r="P413" s="29">
        <f t="shared" si="13"/>
        <v>0.10810810810810811</v>
      </c>
    </row>
    <row r="414" spans="1:16" x14ac:dyDescent="0.35">
      <c r="A414" s="2" t="s">
        <v>9</v>
      </c>
      <c r="B414" s="2" t="s">
        <v>10</v>
      </c>
      <c r="C414" s="2" t="s">
        <v>36</v>
      </c>
      <c r="D414" s="2" t="s">
        <v>16</v>
      </c>
      <c r="E414" s="2">
        <v>135</v>
      </c>
      <c r="F414" s="2">
        <v>115</v>
      </c>
      <c r="G414" s="2">
        <v>138</v>
      </c>
      <c r="H414" s="2">
        <v>0</v>
      </c>
      <c r="I414" s="2">
        <v>0</v>
      </c>
      <c r="J414" s="2">
        <f>ABS(F414-E414)</f>
        <v>20</v>
      </c>
      <c r="K414" s="29">
        <f>J414/E414</f>
        <v>0.14814814814814814</v>
      </c>
      <c r="L414" s="2">
        <f>ABS(G414-E414)</f>
        <v>3</v>
      </c>
      <c r="M414" s="50">
        <f>(L414/E414)</f>
        <v>2.2222222222222223E-2</v>
      </c>
      <c r="N414" s="2">
        <v>125</v>
      </c>
      <c r="O414" s="11">
        <f t="shared" si="12"/>
        <v>10</v>
      </c>
      <c r="P414" s="29">
        <f t="shared" si="13"/>
        <v>7.407407407407407E-2</v>
      </c>
    </row>
    <row r="415" spans="1:16" x14ac:dyDescent="0.35">
      <c r="A415" s="2" t="s">
        <v>9</v>
      </c>
      <c r="B415" s="2" t="s">
        <v>10</v>
      </c>
      <c r="C415" s="2" t="s">
        <v>36</v>
      </c>
      <c r="D415" s="2" t="s">
        <v>17</v>
      </c>
      <c r="E415" s="2">
        <v>131</v>
      </c>
      <c r="F415" s="2">
        <v>117</v>
      </c>
      <c r="G415" s="2">
        <v>127</v>
      </c>
      <c r="H415" s="2">
        <v>0</v>
      </c>
      <c r="I415" s="2">
        <v>0</v>
      </c>
      <c r="J415" s="2">
        <f>ABS(F415-E415)</f>
        <v>14</v>
      </c>
      <c r="K415" s="29">
        <f>J415/E415</f>
        <v>0.10687022900763359</v>
      </c>
      <c r="L415" s="2">
        <f>ABS(G415-E415)</f>
        <v>4</v>
      </c>
      <c r="M415" s="50">
        <f>(L415/E415)</f>
        <v>3.0534351145038167E-2</v>
      </c>
      <c r="N415" s="2">
        <v>130</v>
      </c>
      <c r="O415" s="11">
        <f t="shared" si="12"/>
        <v>1</v>
      </c>
      <c r="P415" s="29">
        <f t="shared" si="13"/>
        <v>7.6335877862595417E-3</v>
      </c>
    </row>
    <row r="416" spans="1:16" x14ac:dyDescent="0.35">
      <c r="A416" s="2" t="s">
        <v>9</v>
      </c>
      <c r="B416" s="2" t="s">
        <v>10</v>
      </c>
      <c r="C416" s="2" t="s">
        <v>36</v>
      </c>
      <c r="D416" s="2" t="s">
        <v>18</v>
      </c>
      <c r="E416" s="2">
        <v>82</v>
      </c>
      <c r="F416" s="2">
        <v>82</v>
      </c>
      <c r="G416" s="2">
        <v>77</v>
      </c>
      <c r="H416" s="2">
        <v>0</v>
      </c>
      <c r="I416" s="2">
        <v>0</v>
      </c>
      <c r="J416" s="2">
        <f>ABS(F416-E416)</f>
        <v>0</v>
      </c>
      <c r="K416" s="29">
        <f>J416/E416</f>
        <v>0</v>
      </c>
      <c r="L416" s="2">
        <f>ABS(G416-E416)</f>
        <v>5</v>
      </c>
      <c r="M416" s="50">
        <f>(L416/E416)</f>
        <v>6.097560975609756E-2</v>
      </c>
      <c r="N416" s="2">
        <v>85</v>
      </c>
      <c r="O416" s="11">
        <f t="shared" si="12"/>
        <v>3</v>
      </c>
      <c r="P416" s="29">
        <f t="shared" si="13"/>
        <v>3.6585365853658534E-2</v>
      </c>
    </row>
    <row r="417" spans="1:16" x14ac:dyDescent="0.35">
      <c r="A417" s="2" t="s">
        <v>9</v>
      </c>
      <c r="B417" s="2" t="s">
        <v>10</v>
      </c>
      <c r="C417" s="2" t="s">
        <v>36</v>
      </c>
      <c r="D417" s="2" t="s">
        <v>19</v>
      </c>
      <c r="E417" s="2">
        <v>93</v>
      </c>
      <c r="F417" s="2">
        <v>85</v>
      </c>
      <c r="G417" s="2">
        <v>91</v>
      </c>
      <c r="H417" s="2">
        <v>0</v>
      </c>
      <c r="I417" s="2">
        <v>0</v>
      </c>
      <c r="J417" s="2">
        <f>ABS(F417-E417)</f>
        <v>8</v>
      </c>
      <c r="K417" s="29">
        <f>J417/E417</f>
        <v>8.6021505376344093E-2</v>
      </c>
      <c r="L417" s="2">
        <f>ABS(G417-E417)</f>
        <v>2</v>
      </c>
      <c r="M417" s="50">
        <f>(L417/E417)</f>
        <v>2.1505376344086023E-2</v>
      </c>
      <c r="N417" s="2">
        <v>89</v>
      </c>
      <c r="O417" s="11">
        <f t="shared" si="12"/>
        <v>4</v>
      </c>
      <c r="P417" s="29">
        <f t="shared" si="13"/>
        <v>4.3010752688172046E-2</v>
      </c>
    </row>
    <row r="418" spans="1:16" x14ac:dyDescent="0.35">
      <c r="A418" s="2" t="s">
        <v>9</v>
      </c>
      <c r="B418" s="2" t="s">
        <v>10</v>
      </c>
      <c r="C418" s="2" t="s">
        <v>36</v>
      </c>
      <c r="D418" s="2" t="s">
        <v>20</v>
      </c>
      <c r="E418" s="2">
        <v>93</v>
      </c>
      <c r="F418" s="2">
        <v>81</v>
      </c>
      <c r="G418" s="2">
        <v>94</v>
      </c>
      <c r="H418" s="2">
        <v>1</v>
      </c>
      <c r="I418" s="2">
        <v>0</v>
      </c>
      <c r="J418" s="2">
        <f>ABS(F418-E418)</f>
        <v>12</v>
      </c>
      <c r="K418" s="29">
        <f>J418/E418</f>
        <v>0.12903225806451613</v>
      </c>
      <c r="L418" s="2">
        <f>ABS(G418-E418)</f>
        <v>1</v>
      </c>
      <c r="M418" s="50">
        <f>(L418/E418)</f>
        <v>1.0752688172043012E-2</v>
      </c>
      <c r="N418" s="2">
        <v>92</v>
      </c>
      <c r="O418" s="11">
        <f t="shared" si="12"/>
        <v>1</v>
      </c>
      <c r="P418" s="29">
        <f t="shared" si="13"/>
        <v>1.0752688172043012E-2</v>
      </c>
    </row>
    <row r="419" spans="1:16" x14ac:dyDescent="0.35">
      <c r="A419" s="2" t="s">
        <v>9</v>
      </c>
      <c r="B419" s="2" t="s">
        <v>10</v>
      </c>
      <c r="C419" s="2" t="s">
        <v>36</v>
      </c>
      <c r="D419" s="2" t="s">
        <v>21</v>
      </c>
      <c r="E419" s="2">
        <v>100</v>
      </c>
      <c r="F419" s="2">
        <v>102</v>
      </c>
      <c r="G419" s="2">
        <v>103</v>
      </c>
      <c r="H419" s="2">
        <v>0</v>
      </c>
      <c r="I419" s="2">
        <v>0</v>
      </c>
      <c r="J419" s="2">
        <f>ABS(F419-E419)</f>
        <v>2</v>
      </c>
      <c r="K419" s="29">
        <f>J419/E419</f>
        <v>0.02</v>
      </c>
      <c r="L419" s="2">
        <f>ABS(G419-E419)</f>
        <v>3</v>
      </c>
      <c r="M419" s="50">
        <f>(L419/E419)</f>
        <v>0.03</v>
      </c>
      <c r="N419" s="2">
        <v>102</v>
      </c>
      <c r="O419" s="11">
        <f t="shared" si="12"/>
        <v>2</v>
      </c>
      <c r="P419" s="29">
        <f t="shared" si="13"/>
        <v>0.02</v>
      </c>
    </row>
    <row r="420" spans="1:16" x14ac:dyDescent="0.35">
      <c r="A420" s="2" t="s">
        <v>9</v>
      </c>
      <c r="B420" s="2" t="s">
        <v>10</v>
      </c>
      <c r="C420" s="2" t="s">
        <v>36</v>
      </c>
      <c r="D420" s="2" t="s">
        <v>22</v>
      </c>
      <c r="E420" s="2">
        <v>102</v>
      </c>
      <c r="F420" s="2">
        <v>104</v>
      </c>
      <c r="G420" s="2">
        <v>103</v>
      </c>
      <c r="H420" s="2">
        <v>0</v>
      </c>
      <c r="I420" s="2">
        <v>0</v>
      </c>
      <c r="J420" s="2">
        <f>ABS(F420-E420)</f>
        <v>2</v>
      </c>
      <c r="K420" s="29">
        <f>J420/E420</f>
        <v>1.9607843137254902E-2</v>
      </c>
      <c r="L420" s="2">
        <f>ABS(G420-E420)</f>
        <v>1</v>
      </c>
      <c r="M420" s="50">
        <f>(L420/E420)</f>
        <v>9.8039215686274508E-3</v>
      </c>
      <c r="N420" s="2">
        <v>108</v>
      </c>
      <c r="O420" s="11">
        <f t="shared" si="12"/>
        <v>6</v>
      </c>
      <c r="P420" s="29">
        <f t="shared" si="13"/>
        <v>5.8823529411764705E-2</v>
      </c>
    </row>
    <row r="421" spans="1:16" x14ac:dyDescent="0.35">
      <c r="A421" s="2" t="s">
        <v>9</v>
      </c>
      <c r="B421" s="2" t="s">
        <v>10</v>
      </c>
      <c r="C421" s="2" t="s">
        <v>36</v>
      </c>
      <c r="D421" s="2" t="s">
        <v>23</v>
      </c>
      <c r="E421" s="2">
        <v>111</v>
      </c>
      <c r="F421" s="2">
        <v>113</v>
      </c>
      <c r="G421" s="2">
        <v>107</v>
      </c>
      <c r="H421" s="2">
        <v>0</v>
      </c>
      <c r="I421" s="2">
        <v>0</v>
      </c>
      <c r="J421" s="2">
        <f>ABS(F421-E421)</f>
        <v>2</v>
      </c>
      <c r="K421" s="29">
        <f>J421/E421</f>
        <v>1.8018018018018018E-2</v>
      </c>
      <c r="L421" s="2">
        <f>ABS(G421-E421)</f>
        <v>4</v>
      </c>
      <c r="M421" s="50">
        <f>(L421/E421)</f>
        <v>3.6036036036036036E-2</v>
      </c>
      <c r="N421" s="2">
        <v>111</v>
      </c>
      <c r="O421" s="11">
        <f t="shared" si="12"/>
        <v>0</v>
      </c>
      <c r="P421" s="29">
        <f t="shared" si="13"/>
        <v>0</v>
      </c>
    </row>
    <row r="422" spans="1:16" x14ac:dyDescent="0.35">
      <c r="A422" s="2" t="s">
        <v>9</v>
      </c>
      <c r="B422" s="2" t="s">
        <v>10</v>
      </c>
      <c r="C422" s="2" t="s">
        <v>36</v>
      </c>
      <c r="D422" s="2" t="s">
        <v>24</v>
      </c>
      <c r="E422" s="2">
        <v>140</v>
      </c>
      <c r="F422" s="2">
        <v>146</v>
      </c>
      <c r="G422" s="2">
        <v>131</v>
      </c>
      <c r="H422" s="2">
        <v>0</v>
      </c>
      <c r="I422" s="2">
        <v>0</v>
      </c>
      <c r="J422" s="2">
        <f>ABS(F422-E422)</f>
        <v>6</v>
      </c>
      <c r="K422" s="29">
        <f>J422/E422</f>
        <v>4.2857142857142858E-2</v>
      </c>
      <c r="L422" s="2">
        <f>ABS(G422-E422)</f>
        <v>9</v>
      </c>
      <c r="M422" s="50">
        <f>(L422/E422)</f>
        <v>6.4285714285714279E-2</v>
      </c>
      <c r="N422" s="2">
        <v>141</v>
      </c>
      <c r="O422" s="11">
        <f t="shared" si="12"/>
        <v>1</v>
      </c>
      <c r="P422" s="29">
        <f t="shared" si="13"/>
        <v>7.1428571428571426E-3</v>
      </c>
    </row>
    <row r="423" spans="1:16" x14ac:dyDescent="0.35">
      <c r="A423" s="2" t="s">
        <v>9</v>
      </c>
      <c r="B423" s="2" t="s">
        <v>10</v>
      </c>
      <c r="C423" s="2" t="s">
        <v>36</v>
      </c>
      <c r="D423" s="2" t="s">
        <v>25</v>
      </c>
      <c r="E423" s="2">
        <v>135</v>
      </c>
      <c r="F423" s="2">
        <v>150</v>
      </c>
      <c r="G423" s="2">
        <v>129</v>
      </c>
      <c r="H423" s="2">
        <v>0</v>
      </c>
      <c r="I423" s="2">
        <v>0</v>
      </c>
      <c r="J423" s="2">
        <f>ABS(F423-E423)</f>
        <v>15</v>
      </c>
      <c r="K423" s="29">
        <f>J423/E423</f>
        <v>0.1111111111111111</v>
      </c>
      <c r="L423" s="2">
        <f>ABS(G423-E423)</f>
        <v>6</v>
      </c>
      <c r="M423" s="50">
        <f>(L423/E423)</f>
        <v>4.4444444444444446E-2</v>
      </c>
      <c r="N423" s="2">
        <v>148</v>
      </c>
      <c r="O423" s="11">
        <f t="shared" si="12"/>
        <v>13</v>
      </c>
      <c r="P423" s="29">
        <f t="shared" si="13"/>
        <v>9.6296296296296297E-2</v>
      </c>
    </row>
    <row r="424" spans="1:16" x14ac:dyDescent="0.35">
      <c r="A424" s="2" t="s">
        <v>9</v>
      </c>
      <c r="B424" s="2" t="s">
        <v>10</v>
      </c>
      <c r="C424" s="2" t="s">
        <v>36</v>
      </c>
      <c r="D424" s="2" t="s">
        <v>26</v>
      </c>
      <c r="E424" s="2">
        <v>140</v>
      </c>
      <c r="F424" s="2">
        <v>166</v>
      </c>
      <c r="G424" s="2">
        <v>138</v>
      </c>
      <c r="H424" s="2">
        <v>0</v>
      </c>
      <c r="I424" s="2">
        <v>0</v>
      </c>
      <c r="J424" s="2">
        <f>ABS(F424-E424)</f>
        <v>26</v>
      </c>
      <c r="K424" s="29">
        <f>J424/E424</f>
        <v>0.18571428571428572</v>
      </c>
      <c r="L424" s="2">
        <f>ABS(G424-E424)</f>
        <v>2</v>
      </c>
      <c r="M424" s="50">
        <f>(L424/E424)</f>
        <v>1.4285714285714285E-2</v>
      </c>
      <c r="N424" s="2">
        <v>143</v>
      </c>
      <c r="O424" s="11">
        <f t="shared" si="12"/>
        <v>3</v>
      </c>
      <c r="P424" s="29">
        <f t="shared" si="13"/>
        <v>2.1428571428571429E-2</v>
      </c>
    </row>
    <row r="425" spans="1:16" x14ac:dyDescent="0.35">
      <c r="A425" s="2" t="s">
        <v>9</v>
      </c>
      <c r="B425" s="2" t="s">
        <v>10</v>
      </c>
      <c r="C425" s="2" t="s">
        <v>36</v>
      </c>
      <c r="D425" s="2" t="s">
        <v>27</v>
      </c>
      <c r="E425" s="2">
        <v>117</v>
      </c>
      <c r="F425" s="2">
        <v>115</v>
      </c>
      <c r="G425" s="2">
        <v>118</v>
      </c>
      <c r="H425" s="2">
        <v>0</v>
      </c>
      <c r="I425" s="2">
        <v>0</v>
      </c>
      <c r="J425" s="2">
        <f>ABS(F425-E425)</f>
        <v>2</v>
      </c>
      <c r="K425" s="29">
        <f>J425/E425</f>
        <v>1.7094017094017096E-2</v>
      </c>
      <c r="L425" s="2">
        <f>ABS(G425-E425)</f>
        <v>1</v>
      </c>
      <c r="M425" s="50">
        <f>(L425/E425)</f>
        <v>8.5470085470085479E-3</v>
      </c>
      <c r="N425" s="2">
        <v>123</v>
      </c>
      <c r="O425" s="11">
        <f t="shared" si="12"/>
        <v>6</v>
      </c>
      <c r="P425" s="29">
        <f t="shared" si="13"/>
        <v>5.128205128205128E-2</v>
      </c>
    </row>
    <row r="426" spans="1:16" x14ac:dyDescent="0.35">
      <c r="A426" s="2" t="s">
        <v>9</v>
      </c>
      <c r="B426" s="2" t="s">
        <v>10</v>
      </c>
      <c r="C426" s="2" t="s">
        <v>36</v>
      </c>
      <c r="D426" s="2" t="s">
        <v>28</v>
      </c>
      <c r="E426" s="2">
        <v>118</v>
      </c>
      <c r="F426" s="2">
        <v>134</v>
      </c>
      <c r="G426" s="2">
        <v>116</v>
      </c>
      <c r="H426" s="2">
        <v>1</v>
      </c>
      <c r="I426" s="2">
        <v>0</v>
      </c>
      <c r="J426" s="2">
        <f>ABS(F426-E426)</f>
        <v>16</v>
      </c>
      <c r="K426" s="29">
        <f>J426/E426</f>
        <v>0.13559322033898305</v>
      </c>
      <c r="L426" s="2">
        <f>ABS(G426-E426)</f>
        <v>2</v>
      </c>
      <c r="M426" s="50">
        <f>(L426/E426)</f>
        <v>1.6949152542372881E-2</v>
      </c>
      <c r="N426" s="2">
        <v>124</v>
      </c>
      <c r="O426" s="11">
        <f t="shared" si="12"/>
        <v>6</v>
      </c>
      <c r="P426" s="29">
        <f t="shared" si="13"/>
        <v>5.0847457627118647E-2</v>
      </c>
    </row>
    <row r="427" spans="1:16" x14ac:dyDescent="0.35">
      <c r="A427" s="2" t="s">
        <v>9</v>
      </c>
      <c r="B427" s="2" t="s">
        <v>10</v>
      </c>
      <c r="C427" s="2" t="s">
        <v>36</v>
      </c>
      <c r="D427" s="2" t="s">
        <v>29</v>
      </c>
      <c r="E427" s="2">
        <v>137</v>
      </c>
      <c r="F427" s="2">
        <v>121</v>
      </c>
      <c r="G427" s="2">
        <v>140</v>
      </c>
      <c r="H427" s="2">
        <v>0</v>
      </c>
      <c r="I427" s="2">
        <v>0</v>
      </c>
      <c r="J427" s="2">
        <f>ABS(F427-E427)</f>
        <v>16</v>
      </c>
      <c r="K427" s="29">
        <f>J427/E427</f>
        <v>0.11678832116788321</v>
      </c>
      <c r="L427" s="2">
        <f>ABS(G427-E427)</f>
        <v>3</v>
      </c>
      <c r="M427" s="50">
        <f>(L427/E427)</f>
        <v>2.1897810218978103E-2</v>
      </c>
      <c r="N427" s="2">
        <v>128</v>
      </c>
      <c r="O427" s="11">
        <f t="shared" si="12"/>
        <v>9</v>
      </c>
      <c r="P427" s="29">
        <f t="shared" si="13"/>
        <v>6.569343065693431E-2</v>
      </c>
    </row>
    <row r="428" spans="1:16" x14ac:dyDescent="0.35">
      <c r="A428" s="2" t="s">
        <v>9</v>
      </c>
      <c r="B428" s="2" t="s">
        <v>10</v>
      </c>
      <c r="C428" s="2" t="s">
        <v>36</v>
      </c>
      <c r="D428" s="2" t="s">
        <v>30</v>
      </c>
      <c r="E428" s="2">
        <v>47</v>
      </c>
      <c r="F428" s="2">
        <v>50</v>
      </c>
      <c r="G428" s="2">
        <v>48</v>
      </c>
      <c r="H428" s="2">
        <v>1</v>
      </c>
      <c r="I428" s="2">
        <v>1</v>
      </c>
      <c r="J428" s="2">
        <f>ABS(F428-E428)</f>
        <v>3</v>
      </c>
      <c r="K428" s="29">
        <f>J428/E428</f>
        <v>6.3829787234042548E-2</v>
      </c>
      <c r="L428" s="2">
        <f>ABS(G428-E428)</f>
        <v>1</v>
      </c>
      <c r="M428" s="50">
        <f>(L428/E428)</f>
        <v>2.1276595744680851E-2</v>
      </c>
      <c r="N428" s="2">
        <v>51</v>
      </c>
      <c r="O428" s="11">
        <f t="shared" si="12"/>
        <v>4</v>
      </c>
      <c r="P428" s="29">
        <f t="shared" si="13"/>
        <v>8.5106382978723402E-2</v>
      </c>
    </row>
    <row r="429" spans="1:16" x14ac:dyDescent="0.35">
      <c r="A429" s="2" t="s">
        <v>9</v>
      </c>
      <c r="B429" s="2" t="s">
        <v>10</v>
      </c>
      <c r="C429" s="2" t="s">
        <v>36</v>
      </c>
      <c r="D429" s="2" t="s">
        <v>31</v>
      </c>
      <c r="E429" s="2">
        <v>88</v>
      </c>
      <c r="F429" s="2">
        <v>80</v>
      </c>
      <c r="G429" s="2">
        <v>81</v>
      </c>
      <c r="H429" s="2">
        <v>1</v>
      </c>
      <c r="I429" s="2">
        <v>0</v>
      </c>
      <c r="J429" s="2">
        <f>ABS(F429-E429)</f>
        <v>8</v>
      </c>
      <c r="K429" s="29">
        <f>J429/E429</f>
        <v>9.0909090909090912E-2</v>
      </c>
      <c r="L429" s="2">
        <f>ABS(G429-E429)</f>
        <v>7</v>
      </c>
      <c r="M429" s="50">
        <f>(L429/E429)</f>
        <v>7.9545454545454544E-2</v>
      </c>
      <c r="N429" s="2">
        <v>84</v>
      </c>
      <c r="O429" s="11">
        <f t="shared" si="12"/>
        <v>4</v>
      </c>
      <c r="P429" s="29">
        <f t="shared" si="13"/>
        <v>4.5454545454545456E-2</v>
      </c>
    </row>
    <row r="430" spans="1:16" x14ac:dyDescent="0.35">
      <c r="A430" s="2" t="s">
        <v>9</v>
      </c>
      <c r="B430" s="2" t="s">
        <v>10</v>
      </c>
      <c r="C430" s="2" t="s">
        <v>36</v>
      </c>
      <c r="D430" s="2" t="s">
        <v>32</v>
      </c>
      <c r="E430" s="2">
        <v>88</v>
      </c>
      <c r="F430" s="2">
        <v>76</v>
      </c>
      <c r="G430" s="2">
        <v>88</v>
      </c>
      <c r="H430" s="2">
        <v>1</v>
      </c>
      <c r="I430" s="2">
        <v>0</v>
      </c>
      <c r="J430" s="2">
        <f>ABS(F430-E430)</f>
        <v>12</v>
      </c>
      <c r="K430" s="29">
        <f>J430/E430</f>
        <v>0.13636363636363635</v>
      </c>
      <c r="L430" s="2">
        <f>ABS(G430-E430)</f>
        <v>0</v>
      </c>
      <c r="M430" s="50">
        <f>(L430/E430)</f>
        <v>0</v>
      </c>
      <c r="N430" s="2">
        <v>82</v>
      </c>
      <c r="O430" s="11">
        <f t="shared" si="12"/>
        <v>6</v>
      </c>
      <c r="P430" s="29">
        <f t="shared" si="13"/>
        <v>6.8181818181818177E-2</v>
      </c>
    </row>
    <row r="431" spans="1:16" x14ac:dyDescent="0.35">
      <c r="A431" s="2" t="s">
        <v>9</v>
      </c>
      <c r="B431" s="2" t="s">
        <v>10</v>
      </c>
      <c r="C431" s="2" t="s">
        <v>36</v>
      </c>
      <c r="D431" s="2" t="s">
        <v>33</v>
      </c>
      <c r="E431" s="2">
        <v>92</v>
      </c>
      <c r="F431" s="2">
        <v>92</v>
      </c>
      <c r="G431" s="2">
        <v>86</v>
      </c>
      <c r="H431" s="2">
        <v>0</v>
      </c>
      <c r="I431" s="2">
        <v>0</v>
      </c>
      <c r="J431" s="2">
        <f>ABS(F431-E431)</f>
        <v>0</v>
      </c>
      <c r="K431" s="29">
        <f>J431/E431</f>
        <v>0</v>
      </c>
      <c r="L431" s="2">
        <f>ABS(G431-E431)</f>
        <v>6</v>
      </c>
      <c r="M431" s="50">
        <f>(L431/E431)</f>
        <v>6.5217391304347824E-2</v>
      </c>
      <c r="N431" s="2">
        <v>97</v>
      </c>
      <c r="O431" s="11">
        <f t="shared" si="12"/>
        <v>5</v>
      </c>
      <c r="P431" s="29">
        <f t="shared" si="13"/>
        <v>5.434782608695652E-2</v>
      </c>
    </row>
    <row r="432" spans="1:16" x14ac:dyDescent="0.35">
      <c r="A432" s="2" t="s">
        <v>9</v>
      </c>
      <c r="B432" s="2" t="s">
        <v>10</v>
      </c>
      <c r="C432" s="2" t="s">
        <v>36</v>
      </c>
      <c r="D432" s="2" t="s">
        <v>34</v>
      </c>
      <c r="E432" s="2">
        <v>107</v>
      </c>
      <c r="F432" s="2">
        <v>117</v>
      </c>
      <c r="G432" s="2">
        <v>99</v>
      </c>
      <c r="H432" s="2">
        <v>1</v>
      </c>
      <c r="I432" s="2">
        <v>0</v>
      </c>
      <c r="J432" s="2">
        <f>ABS(F432-E432)</f>
        <v>10</v>
      </c>
      <c r="K432" s="29">
        <f>J432/E432</f>
        <v>9.3457943925233641E-2</v>
      </c>
      <c r="L432" s="2">
        <f>ABS(G432-E432)</f>
        <v>8</v>
      </c>
      <c r="M432" s="50">
        <f>(L432/E432)</f>
        <v>7.476635514018691E-2</v>
      </c>
      <c r="N432" s="2">
        <v>115</v>
      </c>
      <c r="O432" s="11">
        <f t="shared" si="12"/>
        <v>8</v>
      </c>
      <c r="P432" s="29">
        <f t="shared" si="13"/>
        <v>7.476635514018691E-2</v>
      </c>
    </row>
    <row r="433" spans="1:16" x14ac:dyDescent="0.35">
      <c r="A433" s="2" t="s">
        <v>9</v>
      </c>
      <c r="B433" s="2" t="s">
        <v>10</v>
      </c>
      <c r="C433" s="2" t="s">
        <v>36</v>
      </c>
      <c r="D433" s="2" t="s">
        <v>35</v>
      </c>
      <c r="E433" s="2">
        <v>97</v>
      </c>
      <c r="F433" s="2">
        <v>101</v>
      </c>
      <c r="G433" s="2">
        <v>115</v>
      </c>
      <c r="H433" s="2">
        <v>1</v>
      </c>
      <c r="I433" s="2">
        <v>0</v>
      </c>
      <c r="J433" s="2">
        <f>ABS(F433-E433)</f>
        <v>4</v>
      </c>
      <c r="K433" s="29">
        <f>J433/E433</f>
        <v>4.1237113402061855E-2</v>
      </c>
      <c r="L433" s="2">
        <f>ABS(G433-E433)</f>
        <v>18</v>
      </c>
      <c r="M433" s="50">
        <f>(L433/E433)</f>
        <v>0.18556701030927836</v>
      </c>
      <c r="N433" s="2">
        <v>104</v>
      </c>
      <c r="O433" s="11">
        <f t="shared" si="12"/>
        <v>7</v>
      </c>
      <c r="P433" s="29">
        <f t="shared" si="13"/>
        <v>7.2164948453608241E-2</v>
      </c>
    </row>
    <row r="434" spans="1:16" x14ac:dyDescent="0.35">
      <c r="A434" s="2" t="s">
        <v>9</v>
      </c>
      <c r="B434" s="2" t="s">
        <v>10</v>
      </c>
      <c r="C434" s="2" t="s">
        <v>37</v>
      </c>
      <c r="D434" s="2" t="s">
        <v>12</v>
      </c>
      <c r="E434" s="2">
        <v>73</v>
      </c>
      <c r="F434" s="2">
        <v>85</v>
      </c>
      <c r="G434" s="2">
        <v>70</v>
      </c>
      <c r="H434" s="2">
        <v>0</v>
      </c>
      <c r="I434" s="2">
        <v>0</v>
      </c>
      <c r="J434" s="2">
        <f>ABS(F434-E434)</f>
        <v>12</v>
      </c>
      <c r="K434" s="29">
        <f>J434/E434</f>
        <v>0.16438356164383561</v>
      </c>
      <c r="L434" s="2">
        <f>ABS(G434-E434)</f>
        <v>3</v>
      </c>
      <c r="M434" s="50">
        <f>(L434/E434)</f>
        <v>4.1095890410958902E-2</v>
      </c>
      <c r="N434" s="2">
        <v>84</v>
      </c>
      <c r="O434" s="11">
        <f t="shared" si="12"/>
        <v>11</v>
      </c>
      <c r="P434" s="29">
        <f t="shared" si="13"/>
        <v>0.15068493150684931</v>
      </c>
    </row>
    <row r="435" spans="1:16" x14ac:dyDescent="0.35">
      <c r="A435" s="2" t="s">
        <v>9</v>
      </c>
      <c r="B435" s="2" t="s">
        <v>10</v>
      </c>
      <c r="C435" s="2" t="s">
        <v>37</v>
      </c>
      <c r="D435" s="2" t="s">
        <v>13</v>
      </c>
      <c r="E435" s="2">
        <v>79</v>
      </c>
      <c r="F435" s="2">
        <v>104</v>
      </c>
      <c r="G435" s="2">
        <v>71</v>
      </c>
      <c r="H435" s="2">
        <v>0</v>
      </c>
      <c r="I435" s="2">
        <v>0</v>
      </c>
      <c r="J435" s="2">
        <f>ABS(F435-E435)</f>
        <v>25</v>
      </c>
      <c r="K435" s="29">
        <f>J435/E435</f>
        <v>0.31645569620253167</v>
      </c>
      <c r="L435" s="2">
        <f>ABS(G435-E435)</f>
        <v>8</v>
      </c>
      <c r="M435" s="50">
        <f>(L435/E435)</f>
        <v>0.10126582278481013</v>
      </c>
      <c r="N435" s="2">
        <v>92</v>
      </c>
      <c r="O435" s="11">
        <f t="shared" si="12"/>
        <v>13</v>
      </c>
      <c r="P435" s="29">
        <f t="shared" si="13"/>
        <v>0.16455696202531644</v>
      </c>
    </row>
    <row r="436" spans="1:16" x14ac:dyDescent="0.35">
      <c r="A436" s="2" t="s">
        <v>9</v>
      </c>
      <c r="B436" s="2" t="s">
        <v>10</v>
      </c>
      <c r="C436" s="2" t="s">
        <v>37</v>
      </c>
      <c r="D436" s="2" t="s">
        <v>14</v>
      </c>
      <c r="E436" s="2">
        <v>78</v>
      </c>
      <c r="F436" s="2">
        <v>93</v>
      </c>
      <c r="G436" s="2">
        <v>78</v>
      </c>
      <c r="H436" s="2">
        <v>0</v>
      </c>
      <c r="I436" s="2">
        <v>0</v>
      </c>
      <c r="J436" s="2">
        <f>ABS(F436-E436)</f>
        <v>15</v>
      </c>
      <c r="K436" s="29">
        <f>J436/E436</f>
        <v>0.19230769230769232</v>
      </c>
      <c r="L436" s="2">
        <f>ABS(G436-E436)</f>
        <v>0</v>
      </c>
      <c r="M436" s="50">
        <f>(L436/E436)</f>
        <v>0</v>
      </c>
      <c r="N436" s="2">
        <v>83</v>
      </c>
      <c r="O436" s="11">
        <f t="shared" si="12"/>
        <v>5</v>
      </c>
      <c r="P436" s="29">
        <f t="shared" si="13"/>
        <v>6.4102564102564097E-2</v>
      </c>
    </row>
    <row r="437" spans="1:16" x14ac:dyDescent="0.35">
      <c r="A437" s="2" t="s">
        <v>9</v>
      </c>
      <c r="B437" s="2" t="s">
        <v>10</v>
      </c>
      <c r="C437" s="2" t="s">
        <v>37</v>
      </c>
      <c r="D437" s="2" t="s">
        <v>15</v>
      </c>
      <c r="E437" s="2">
        <v>72</v>
      </c>
      <c r="F437" s="2">
        <v>73</v>
      </c>
      <c r="G437" s="2">
        <v>72</v>
      </c>
      <c r="H437" s="2">
        <v>1</v>
      </c>
      <c r="I437" s="2">
        <v>0</v>
      </c>
      <c r="J437" s="2">
        <f>ABS(F437-E437)</f>
        <v>1</v>
      </c>
      <c r="K437" s="29">
        <f>J437/E437</f>
        <v>1.3888888888888888E-2</v>
      </c>
      <c r="L437" s="2">
        <f>ABS(G437-E437)</f>
        <v>0</v>
      </c>
      <c r="M437" s="50">
        <f>(L437/E437)</f>
        <v>0</v>
      </c>
      <c r="N437" s="2">
        <v>70</v>
      </c>
      <c r="O437" s="11">
        <f t="shared" si="12"/>
        <v>2</v>
      </c>
      <c r="P437" s="29">
        <f t="shared" si="13"/>
        <v>2.7777777777777776E-2</v>
      </c>
    </row>
    <row r="438" spans="1:16" x14ac:dyDescent="0.35">
      <c r="A438" s="2" t="s">
        <v>9</v>
      </c>
      <c r="B438" s="2" t="s">
        <v>10</v>
      </c>
      <c r="C438" s="2" t="s">
        <v>37</v>
      </c>
      <c r="D438" s="2" t="s">
        <v>16</v>
      </c>
      <c r="E438" s="2">
        <v>92</v>
      </c>
      <c r="F438" s="2">
        <v>106</v>
      </c>
      <c r="G438" s="2">
        <v>82</v>
      </c>
      <c r="H438" s="2">
        <v>0</v>
      </c>
      <c r="I438" s="2">
        <v>0</v>
      </c>
      <c r="J438" s="2">
        <f>ABS(F438-E438)</f>
        <v>14</v>
      </c>
      <c r="K438" s="29">
        <f>J438/E438</f>
        <v>0.15217391304347827</v>
      </c>
      <c r="L438" s="2">
        <f>ABS(G438-E438)</f>
        <v>10</v>
      </c>
      <c r="M438" s="50">
        <f>(L438/E438)</f>
        <v>0.10869565217391304</v>
      </c>
      <c r="N438" s="2">
        <v>89</v>
      </c>
      <c r="O438" s="11">
        <f t="shared" si="12"/>
        <v>3</v>
      </c>
      <c r="P438" s="29">
        <f t="shared" si="13"/>
        <v>3.2608695652173912E-2</v>
      </c>
    </row>
    <row r="439" spans="1:16" x14ac:dyDescent="0.35">
      <c r="A439" s="2" t="s">
        <v>9</v>
      </c>
      <c r="B439" s="2" t="s">
        <v>10</v>
      </c>
      <c r="C439" s="2" t="s">
        <v>37</v>
      </c>
      <c r="D439" s="2" t="s">
        <v>17</v>
      </c>
      <c r="E439" s="2">
        <v>70</v>
      </c>
      <c r="F439" s="2">
        <v>71</v>
      </c>
      <c r="G439" s="2">
        <v>69</v>
      </c>
      <c r="H439" s="2">
        <v>1</v>
      </c>
      <c r="I439" s="2">
        <v>0</v>
      </c>
      <c r="J439" s="2">
        <f>ABS(F439-E439)</f>
        <v>1</v>
      </c>
      <c r="K439" s="29">
        <f>J439/E439</f>
        <v>1.4285714285714285E-2</v>
      </c>
      <c r="L439" s="2">
        <f>ABS(G439-E439)</f>
        <v>1</v>
      </c>
      <c r="M439" s="50">
        <f>(L439/E439)</f>
        <v>1.4285714285714285E-2</v>
      </c>
      <c r="N439" s="2">
        <v>69</v>
      </c>
      <c r="O439" s="11">
        <f t="shared" si="12"/>
        <v>1</v>
      </c>
      <c r="P439" s="29">
        <f t="shared" si="13"/>
        <v>1.4285714285714285E-2</v>
      </c>
    </row>
    <row r="440" spans="1:16" x14ac:dyDescent="0.35">
      <c r="A440" s="2" t="s">
        <v>9</v>
      </c>
      <c r="B440" s="2" t="s">
        <v>10</v>
      </c>
      <c r="C440" s="2" t="s">
        <v>37</v>
      </c>
      <c r="D440" s="2" t="s">
        <v>18</v>
      </c>
      <c r="E440" s="2">
        <v>32</v>
      </c>
      <c r="F440" s="2">
        <v>37</v>
      </c>
      <c r="G440" s="2">
        <v>30</v>
      </c>
      <c r="H440" s="2">
        <v>0</v>
      </c>
      <c r="I440" s="2">
        <v>1</v>
      </c>
      <c r="J440" s="2">
        <f>ABS(F440-E440)</f>
        <v>5</v>
      </c>
      <c r="K440" s="29">
        <f>J440/E440</f>
        <v>0.15625</v>
      </c>
      <c r="L440" s="2">
        <f>ABS(G440-E440)</f>
        <v>2</v>
      </c>
      <c r="M440" s="50">
        <f>(L440/E440)</f>
        <v>6.25E-2</v>
      </c>
      <c r="N440" s="2">
        <v>33</v>
      </c>
      <c r="O440" s="11">
        <f t="shared" si="12"/>
        <v>1</v>
      </c>
      <c r="P440" s="29">
        <f t="shared" si="13"/>
        <v>3.125E-2</v>
      </c>
    </row>
    <row r="441" spans="1:16" x14ac:dyDescent="0.35">
      <c r="A441" s="2" t="s">
        <v>9</v>
      </c>
      <c r="B441" s="2" t="s">
        <v>10</v>
      </c>
      <c r="C441" s="2" t="s">
        <v>37</v>
      </c>
      <c r="D441" s="2" t="s">
        <v>19</v>
      </c>
      <c r="E441" s="2">
        <v>55</v>
      </c>
      <c r="F441" s="2">
        <v>69</v>
      </c>
      <c r="G441" s="2">
        <v>56</v>
      </c>
      <c r="H441" s="2">
        <v>0</v>
      </c>
      <c r="I441" s="2">
        <v>0</v>
      </c>
      <c r="J441" s="2">
        <f>ABS(F441-E441)</f>
        <v>14</v>
      </c>
      <c r="K441" s="29">
        <f>J441/E441</f>
        <v>0.25454545454545452</v>
      </c>
      <c r="L441" s="2">
        <f>ABS(G441-E441)</f>
        <v>1</v>
      </c>
      <c r="M441" s="50">
        <f>(L441/E441)</f>
        <v>1.8181818181818181E-2</v>
      </c>
      <c r="N441" s="2">
        <v>61</v>
      </c>
      <c r="O441" s="11">
        <f t="shared" si="12"/>
        <v>6</v>
      </c>
      <c r="P441" s="29">
        <f t="shared" si="13"/>
        <v>0.10909090909090909</v>
      </c>
    </row>
    <row r="442" spans="1:16" x14ac:dyDescent="0.35">
      <c r="A442" s="2" t="s">
        <v>9</v>
      </c>
      <c r="B442" s="2" t="s">
        <v>10</v>
      </c>
      <c r="C442" s="2" t="s">
        <v>37</v>
      </c>
      <c r="D442" s="2" t="s">
        <v>20</v>
      </c>
      <c r="E442" s="2">
        <v>66</v>
      </c>
      <c r="F442" s="2">
        <v>79</v>
      </c>
      <c r="G442" s="2">
        <v>60</v>
      </c>
      <c r="H442" s="2">
        <v>0</v>
      </c>
      <c r="I442" s="2">
        <v>0</v>
      </c>
      <c r="J442" s="2">
        <f>ABS(F442-E442)</f>
        <v>13</v>
      </c>
      <c r="K442" s="29">
        <f>J442/E442</f>
        <v>0.19696969696969696</v>
      </c>
      <c r="L442" s="2">
        <f>ABS(G442-E442)</f>
        <v>6</v>
      </c>
      <c r="M442" s="50">
        <f>(L442/E442)</f>
        <v>9.0909090909090912E-2</v>
      </c>
      <c r="N442" s="2">
        <v>71</v>
      </c>
      <c r="O442" s="11">
        <f t="shared" si="12"/>
        <v>5</v>
      </c>
      <c r="P442" s="29">
        <f t="shared" si="13"/>
        <v>7.575757575757576E-2</v>
      </c>
    </row>
    <row r="443" spans="1:16" x14ac:dyDescent="0.35">
      <c r="A443" s="2" t="s">
        <v>9</v>
      </c>
      <c r="B443" s="2" t="s">
        <v>10</v>
      </c>
      <c r="C443" s="2" t="s">
        <v>37</v>
      </c>
      <c r="D443" s="2" t="s">
        <v>21</v>
      </c>
      <c r="E443" s="2">
        <v>54</v>
      </c>
      <c r="F443" s="2">
        <v>61</v>
      </c>
      <c r="G443" s="2">
        <v>56</v>
      </c>
      <c r="H443" s="2">
        <v>0</v>
      </c>
      <c r="I443" s="2">
        <v>0</v>
      </c>
      <c r="J443" s="2">
        <f>ABS(F443-E443)</f>
        <v>7</v>
      </c>
      <c r="K443" s="29">
        <f>J443/E443</f>
        <v>0.12962962962962962</v>
      </c>
      <c r="L443" s="2">
        <f>ABS(G443-E443)</f>
        <v>2</v>
      </c>
      <c r="M443" s="50">
        <f>(L443/E443)</f>
        <v>3.7037037037037035E-2</v>
      </c>
      <c r="N443" s="2">
        <v>56</v>
      </c>
      <c r="O443" s="11">
        <f t="shared" si="12"/>
        <v>2</v>
      </c>
      <c r="P443" s="29">
        <f t="shared" si="13"/>
        <v>3.7037037037037035E-2</v>
      </c>
    </row>
    <row r="444" spans="1:16" x14ac:dyDescent="0.35">
      <c r="A444" s="2" t="s">
        <v>9</v>
      </c>
      <c r="B444" s="2" t="s">
        <v>10</v>
      </c>
      <c r="C444" s="2" t="s">
        <v>37</v>
      </c>
      <c r="D444" s="2" t="s">
        <v>22</v>
      </c>
      <c r="E444" s="2">
        <v>41</v>
      </c>
      <c r="F444" s="2">
        <v>40</v>
      </c>
      <c r="G444" s="2">
        <v>40</v>
      </c>
      <c r="H444" s="2">
        <v>0</v>
      </c>
      <c r="I444" s="2">
        <v>0</v>
      </c>
      <c r="J444" s="2">
        <f>ABS(F444-E444)</f>
        <v>1</v>
      </c>
      <c r="K444" s="29">
        <f>J444/E444</f>
        <v>2.4390243902439025E-2</v>
      </c>
      <c r="L444" s="2">
        <f>ABS(G444-E444)</f>
        <v>1</v>
      </c>
      <c r="M444" s="50">
        <f>(L444/E444)</f>
        <v>2.4390243902439025E-2</v>
      </c>
      <c r="N444" s="2">
        <v>42</v>
      </c>
      <c r="O444" s="11">
        <f t="shared" si="12"/>
        <v>1</v>
      </c>
      <c r="P444" s="29">
        <f t="shared" si="13"/>
        <v>2.4390243902439025E-2</v>
      </c>
    </row>
    <row r="445" spans="1:16" x14ac:dyDescent="0.35">
      <c r="A445" s="2" t="s">
        <v>9</v>
      </c>
      <c r="B445" s="2" t="s">
        <v>10</v>
      </c>
      <c r="C445" s="2" t="s">
        <v>37</v>
      </c>
      <c r="D445" s="2" t="s">
        <v>23</v>
      </c>
      <c r="E445" s="2">
        <v>60</v>
      </c>
      <c r="F445" s="2">
        <v>63</v>
      </c>
      <c r="G445" s="2">
        <v>60</v>
      </c>
      <c r="H445" s="2">
        <v>0</v>
      </c>
      <c r="I445" s="2">
        <v>0</v>
      </c>
      <c r="J445" s="2">
        <f>ABS(F445-E445)</f>
        <v>3</v>
      </c>
      <c r="K445" s="29">
        <f>J445/E445</f>
        <v>0.05</v>
      </c>
      <c r="L445" s="2">
        <f>ABS(G445-E445)</f>
        <v>0</v>
      </c>
      <c r="M445" s="50">
        <f>(L445/E445)</f>
        <v>0</v>
      </c>
      <c r="N445" s="2">
        <v>61</v>
      </c>
      <c r="O445" s="11">
        <f t="shared" si="12"/>
        <v>1</v>
      </c>
      <c r="P445" s="29">
        <f t="shared" si="13"/>
        <v>1.6666666666666666E-2</v>
      </c>
    </row>
    <row r="446" spans="1:16" x14ac:dyDescent="0.35">
      <c r="A446" s="2" t="s">
        <v>9</v>
      </c>
      <c r="B446" s="2" t="s">
        <v>10</v>
      </c>
      <c r="C446" s="2" t="s">
        <v>37</v>
      </c>
      <c r="D446" s="2" t="s">
        <v>24</v>
      </c>
      <c r="E446" s="2">
        <v>84</v>
      </c>
      <c r="F446" s="2">
        <v>92</v>
      </c>
      <c r="G446" s="2">
        <v>79</v>
      </c>
      <c r="H446" s="2">
        <v>0</v>
      </c>
      <c r="I446" s="2">
        <v>0</v>
      </c>
      <c r="J446" s="2">
        <f>ABS(F446-E446)</f>
        <v>8</v>
      </c>
      <c r="K446" s="29">
        <f>J446/E446</f>
        <v>9.5238095238095233E-2</v>
      </c>
      <c r="L446" s="2">
        <f>ABS(G446-E446)</f>
        <v>5</v>
      </c>
      <c r="M446" s="50">
        <f>(L446/E446)</f>
        <v>5.9523809523809521E-2</v>
      </c>
      <c r="N446" s="2">
        <v>88</v>
      </c>
      <c r="O446" s="11">
        <f t="shared" si="12"/>
        <v>4</v>
      </c>
      <c r="P446" s="29">
        <f t="shared" si="13"/>
        <v>4.7619047619047616E-2</v>
      </c>
    </row>
    <row r="447" spans="1:16" x14ac:dyDescent="0.35">
      <c r="A447" s="2" t="s">
        <v>9</v>
      </c>
      <c r="B447" s="2" t="s">
        <v>10</v>
      </c>
      <c r="C447" s="2" t="s">
        <v>37</v>
      </c>
      <c r="D447" s="2" t="s">
        <v>25</v>
      </c>
      <c r="E447" s="2">
        <v>84</v>
      </c>
      <c r="F447" s="2">
        <v>92</v>
      </c>
      <c r="G447" s="2">
        <v>82</v>
      </c>
      <c r="H447" s="2">
        <v>0</v>
      </c>
      <c r="I447" s="2">
        <v>0</v>
      </c>
      <c r="J447" s="2">
        <f>ABS(F447-E447)</f>
        <v>8</v>
      </c>
      <c r="K447" s="29">
        <f>J447/E447</f>
        <v>9.5238095238095233E-2</v>
      </c>
      <c r="L447" s="2">
        <f>ABS(G447-E447)</f>
        <v>2</v>
      </c>
      <c r="M447" s="50">
        <f>(L447/E447)</f>
        <v>2.3809523809523808E-2</v>
      </c>
      <c r="N447" s="2">
        <v>84</v>
      </c>
      <c r="O447" s="11">
        <f t="shared" si="12"/>
        <v>0</v>
      </c>
      <c r="P447" s="29">
        <f t="shared" si="13"/>
        <v>0</v>
      </c>
    </row>
    <row r="448" spans="1:16" x14ac:dyDescent="0.35">
      <c r="A448" s="2" t="s">
        <v>9</v>
      </c>
      <c r="B448" s="2" t="s">
        <v>10</v>
      </c>
      <c r="C448" s="2" t="s">
        <v>37</v>
      </c>
      <c r="D448" s="2" t="s">
        <v>26</v>
      </c>
      <c r="E448" s="2">
        <v>95</v>
      </c>
      <c r="F448" s="2">
        <v>92</v>
      </c>
      <c r="G448" s="2">
        <v>105</v>
      </c>
      <c r="H448" s="2">
        <v>1</v>
      </c>
      <c r="I448" s="2">
        <v>0</v>
      </c>
      <c r="J448" s="2">
        <f>ABS(F448-E448)</f>
        <v>3</v>
      </c>
      <c r="K448" s="29">
        <f>J448/E448</f>
        <v>3.1578947368421054E-2</v>
      </c>
      <c r="L448" s="2">
        <f>ABS(G448-E448)</f>
        <v>10</v>
      </c>
      <c r="M448" s="50">
        <f>(L448/E448)</f>
        <v>0.10526315789473684</v>
      </c>
      <c r="N448" s="2">
        <v>95</v>
      </c>
      <c r="O448" s="11">
        <f t="shared" si="12"/>
        <v>0</v>
      </c>
      <c r="P448" s="29">
        <f t="shared" si="13"/>
        <v>0</v>
      </c>
    </row>
    <row r="449" spans="1:16" x14ac:dyDescent="0.35">
      <c r="A449" s="2" t="s">
        <v>9</v>
      </c>
      <c r="B449" s="2" t="s">
        <v>10</v>
      </c>
      <c r="C449" s="2" t="s">
        <v>37</v>
      </c>
      <c r="D449" s="2" t="s">
        <v>27</v>
      </c>
      <c r="E449" s="2">
        <v>65</v>
      </c>
      <c r="F449" s="2">
        <v>73</v>
      </c>
      <c r="G449" s="2">
        <v>62</v>
      </c>
      <c r="H449" s="2">
        <v>1</v>
      </c>
      <c r="I449" s="2">
        <v>0</v>
      </c>
      <c r="J449" s="2">
        <f>ABS(F449-E449)</f>
        <v>8</v>
      </c>
      <c r="K449" s="29">
        <f>J449/E449</f>
        <v>0.12307692307692308</v>
      </c>
      <c r="L449" s="2">
        <f>ABS(G449-E449)</f>
        <v>3</v>
      </c>
      <c r="M449" s="50">
        <f>(L449/E449)</f>
        <v>4.6153846153846156E-2</v>
      </c>
      <c r="N449" s="2">
        <v>78</v>
      </c>
      <c r="O449" s="11">
        <f t="shared" si="12"/>
        <v>13</v>
      </c>
      <c r="P449" s="29">
        <f t="shared" si="13"/>
        <v>0.2</v>
      </c>
    </row>
    <row r="450" spans="1:16" x14ac:dyDescent="0.35">
      <c r="A450" s="2" t="s">
        <v>9</v>
      </c>
      <c r="B450" s="2" t="s">
        <v>10</v>
      </c>
      <c r="C450" s="2" t="s">
        <v>37</v>
      </c>
      <c r="D450" s="2" t="s">
        <v>28</v>
      </c>
      <c r="E450" s="2">
        <v>71</v>
      </c>
      <c r="F450" s="2">
        <v>83</v>
      </c>
      <c r="G450" s="2">
        <v>72</v>
      </c>
      <c r="H450" s="2">
        <v>0</v>
      </c>
      <c r="I450" s="2">
        <v>0</v>
      </c>
      <c r="J450" s="2">
        <f>ABS(F450-E450)</f>
        <v>12</v>
      </c>
      <c r="K450" s="29">
        <f>J450/E450</f>
        <v>0.16901408450704225</v>
      </c>
      <c r="L450" s="2">
        <f>ABS(G450-E450)</f>
        <v>1</v>
      </c>
      <c r="M450" s="50">
        <f>(L450/E450)</f>
        <v>1.4084507042253521E-2</v>
      </c>
      <c r="N450" s="2">
        <v>74</v>
      </c>
      <c r="O450" s="11">
        <f t="shared" si="12"/>
        <v>3</v>
      </c>
      <c r="P450" s="29">
        <f t="shared" si="13"/>
        <v>4.2253521126760563E-2</v>
      </c>
    </row>
    <row r="451" spans="1:16" x14ac:dyDescent="0.35">
      <c r="A451" s="2" t="s">
        <v>9</v>
      </c>
      <c r="B451" s="2" t="s">
        <v>10</v>
      </c>
      <c r="C451" s="2" t="s">
        <v>37</v>
      </c>
      <c r="D451" s="2" t="s">
        <v>29</v>
      </c>
      <c r="E451" s="2">
        <v>64</v>
      </c>
      <c r="F451" s="2">
        <v>75</v>
      </c>
      <c r="G451" s="2">
        <v>66</v>
      </c>
      <c r="H451" s="2">
        <v>0</v>
      </c>
      <c r="I451" s="2">
        <v>0</v>
      </c>
      <c r="J451" s="2">
        <f>ABS(F451-E451)</f>
        <v>11</v>
      </c>
      <c r="K451" s="29">
        <f>J451/E451</f>
        <v>0.171875</v>
      </c>
      <c r="L451" s="2">
        <f>ABS(G451-E451)</f>
        <v>2</v>
      </c>
      <c r="M451" s="50">
        <f>(L451/E451)</f>
        <v>3.125E-2</v>
      </c>
      <c r="N451" s="2">
        <v>71</v>
      </c>
      <c r="O451" s="11">
        <f t="shared" ref="O451:O514" si="14">ABS(N451-E451)</f>
        <v>7</v>
      </c>
      <c r="P451" s="29">
        <f t="shared" ref="P451:P514" si="15">O451/E451</f>
        <v>0.109375</v>
      </c>
    </row>
    <row r="452" spans="1:16" x14ac:dyDescent="0.35">
      <c r="A452" s="2" t="s">
        <v>9</v>
      </c>
      <c r="B452" s="2" t="s">
        <v>10</v>
      </c>
      <c r="C452" s="2" t="s">
        <v>37</v>
      </c>
      <c r="D452" s="2" t="s">
        <v>30</v>
      </c>
      <c r="E452" s="2">
        <v>66</v>
      </c>
      <c r="F452" s="2">
        <v>76</v>
      </c>
      <c r="G452" s="2">
        <v>65</v>
      </c>
      <c r="H452" s="2">
        <v>0</v>
      </c>
      <c r="I452" s="2">
        <v>0</v>
      </c>
      <c r="J452" s="2">
        <f>ABS(F452-E452)</f>
        <v>10</v>
      </c>
      <c r="K452" s="29">
        <f>J452/E452</f>
        <v>0.15151515151515152</v>
      </c>
      <c r="L452" s="2">
        <f>ABS(G452-E452)</f>
        <v>1</v>
      </c>
      <c r="M452" s="50">
        <f>(L452/E452)</f>
        <v>1.5151515151515152E-2</v>
      </c>
      <c r="N452" s="2">
        <v>69</v>
      </c>
      <c r="O452" s="11">
        <f t="shared" si="14"/>
        <v>3</v>
      </c>
      <c r="P452" s="29">
        <f t="shared" si="15"/>
        <v>4.5454545454545456E-2</v>
      </c>
    </row>
    <row r="453" spans="1:16" x14ac:dyDescent="0.35">
      <c r="A453" s="2" t="s">
        <v>9</v>
      </c>
      <c r="B453" s="2" t="s">
        <v>10</v>
      </c>
      <c r="C453" s="2" t="s">
        <v>37</v>
      </c>
      <c r="D453" s="2" t="s">
        <v>31</v>
      </c>
      <c r="E453" s="2">
        <v>57</v>
      </c>
      <c r="F453" s="2">
        <v>65</v>
      </c>
      <c r="G453" s="2">
        <v>56</v>
      </c>
      <c r="H453" s="2">
        <v>0</v>
      </c>
      <c r="I453" s="2">
        <v>0</v>
      </c>
      <c r="J453" s="2">
        <f>ABS(F453-E453)</f>
        <v>8</v>
      </c>
      <c r="K453" s="29">
        <f>J453/E453</f>
        <v>0.14035087719298245</v>
      </c>
      <c r="L453" s="2">
        <f>ABS(G453-E453)</f>
        <v>1</v>
      </c>
      <c r="M453" s="50">
        <f>(L453/E453)</f>
        <v>1.7543859649122806E-2</v>
      </c>
      <c r="N453" s="2">
        <v>62</v>
      </c>
      <c r="O453" s="11">
        <f t="shared" si="14"/>
        <v>5</v>
      </c>
      <c r="P453" s="29">
        <f t="shared" si="15"/>
        <v>8.771929824561403E-2</v>
      </c>
    </row>
    <row r="454" spans="1:16" x14ac:dyDescent="0.35">
      <c r="A454" s="2" t="s">
        <v>9</v>
      </c>
      <c r="B454" s="2" t="s">
        <v>10</v>
      </c>
      <c r="C454" s="2" t="s">
        <v>37</v>
      </c>
      <c r="D454" s="2" t="s">
        <v>32</v>
      </c>
      <c r="E454" s="2">
        <v>59</v>
      </c>
      <c r="F454" s="2">
        <v>69</v>
      </c>
      <c r="G454" s="2">
        <v>62</v>
      </c>
      <c r="H454" s="2">
        <v>1</v>
      </c>
      <c r="I454" s="2">
        <v>0</v>
      </c>
      <c r="J454" s="2">
        <f>ABS(F454-E454)</f>
        <v>10</v>
      </c>
      <c r="K454" s="29">
        <f>J454/E454</f>
        <v>0.16949152542372881</v>
      </c>
      <c r="L454" s="2">
        <f>ABS(G454-E454)</f>
        <v>3</v>
      </c>
      <c r="M454" s="50">
        <f>(L454/E454)</f>
        <v>5.0847457627118647E-2</v>
      </c>
      <c r="N454" s="2">
        <v>62</v>
      </c>
      <c r="O454" s="11">
        <f t="shared" si="14"/>
        <v>3</v>
      </c>
      <c r="P454" s="29">
        <f t="shared" si="15"/>
        <v>5.0847457627118647E-2</v>
      </c>
    </row>
    <row r="455" spans="1:16" x14ac:dyDescent="0.35">
      <c r="A455" s="2" t="s">
        <v>9</v>
      </c>
      <c r="B455" s="2" t="s">
        <v>10</v>
      </c>
      <c r="C455" s="2" t="s">
        <v>37</v>
      </c>
      <c r="D455" s="2" t="s">
        <v>33</v>
      </c>
      <c r="E455" s="2">
        <v>57</v>
      </c>
      <c r="F455" s="2">
        <v>64</v>
      </c>
      <c r="G455" s="2">
        <v>56</v>
      </c>
      <c r="H455" s="2">
        <v>0</v>
      </c>
      <c r="I455" s="2">
        <v>0</v>
      </c>
      <c r="J455" s="2">
        <f>ABS(F455-E455)</f>
        <v>7</v>
      </c>
      <c r="K455" s="29">
        <f>J455/E455</f>
        <v>0.12280701754385964</v>
      </c>
      <c r="L455" s="2">
        <f>ABS(G455-E455)</f>
        <v>1</v>
      </c>
      <c r="M455" s="50">
        <f>(L455/E455)</f>
        <v>1.7543859649122806E-2</v>
      </c>
      <c r="N455" s="2">
        <v>59</v>
      </c>
      <c r="O455" s="11">
        <f t="shared" si="14"/>
        <v>2</v>
      </c>
      <c r="P455" s="29">
        <f t="shared" si="15"/>
        <v>3.5087719298245612E-2</v>
      </c>
    </row>
    <row r="456" spans="1:16" x14ac:dyDescent="0.35">
      <c r="A456" s="2" t="s">
        <v>9</v>
      </c>
      <c r="B456" s="2" t="s">
        <v>10</v>
      </c>
      <c r="C456" s="2" t="s">
        <v>37</v>
      </c>
      <c r="D456" s="2" t="s">
        <v>34</v>
      </c>
      <c r="E456" s="2">
        <v>57</v>
      </c>
      <c r="F456" s="2">
        <v>74</v>
      </c>
      <c r="G456" s="2">
        <v>54</v>
      </c>
      <c r="H456" s="2">
        <v>1</v>
      </c>
      <c r="I456" s="2">
        <v>0</v>
      </c>
      <c r="J456" s="2">
        <f>ABS(F456-E456)</f>
        <v>17</v>
      </c>
      <c r="K456" s="29">
        <f>J456/E456</f>
        <v>0.2982456140350877</v>
      </c>
      <c r="L456" s="2">
        <f>ABS(G456-E456)</f>
        <v>3</v>
      </c>
      <c r="M456" s="50">
        <f>(L456/E456)</f>
        <v>5.2631578947368418E-2</v>
      </c>
      <c r="N456" s="2">
        <v>66</v>
      </c>
      <c r="O456" s="11">
        <f t="shared" si="14"/>
        <v>9</v>
      </c>
      <c r="P456" s="29">
        <f t="shared" si="15"/>
        <v>0.15789473684210525</v>
      </c>
    </row>
    <row r="457" spans="1:16" x14ac:dyDescent="0.35">
      <c r="A457" s="2" t="s">
        <v>9</v>
      </c>
      <c r="B457" s="2" t="s">
        <v>10</v>
      </c>
      <c r="C457" s="2" t="s">
        <v>37</v>
      </c>
      <c r="D457" s="2" t="s">
        <v>35</v>
      </c>
      <c r="E457" s="2">
        <v>60</v>
      </c>
      <c r="F457" s="2">
        <v>69</v>
      </c>
      <c r="G457" s="2">
        <v>61</v>
      </c>
      <c r="H457" s="2">
        <v>0</v>
      </c>
      <c r="I457" s="2">
        <v>0</v>
      </c>
      <c r="J457" s="2">
        <f>ABS(F457-E457)</f>
        <v>9</v>
      </c>
      <c r="K457" s="29">
        <f>J457/E457</f>
        <v>0.15</v>
      </c>
      <c r="L457" s="2">
        <f>ABS(G457-E457)</f>
        <v>1</v>
      </c>
      <c r="M457" s="50">
        <f>(L457/E457)</f>
        <v>1.6666666666666666E-2</v>
      </c>
      <c r="N457" s="2">
        <v>60</v>
      </c>
      <c r="O457" s="11">
        <f t="shared" si="14"/>
        <v>0</v>
      </c>
      <c r="P457" s="29">
        <f t="shared" si="15"/>
        <v>0</v>
      </c>
    </row>
    <row r="458" spans="1:16" x14ac:dyDescent="0.35">
      <c r="A458" s="2" t="s">
        <v>9</v>
      </c>
      <c r="B458" s="2" t="s">
        <v>10</v>
      </c>
      <c r="C458" s="2" t="s">
        <v>38</v>
      </c>
      <c r="D458" s="2" t="s">
        <v>12</v>
      </c>
      <c r="E458" s="2">
        <v>102</v>
      </c>
      <c r="F458" s="2">
        <v>124</v>
      </c>
      <c r="G458" s="2">
        <v>102</v>
      </c>
      <c r="H458" s="2">
        <v>1</v>
      </c>
      <c r="I458" s="2">
        <v>1</v>
      </c>
      <c r="J458" s="2">
        <f>ABS(F458-E458)</f>
        <v>22</v>
      </c>
      <c r="K458" s="29">
        <f>J458/E458</f>
        <v>0.21568627450980393</v>
      </c>
      <c r="L458" s="2">
        <f>ABS(G458-E458)</f>
        <v>0</v>
      </c>
      <c r="M458" s="50">
        <f>(L458/E458)</f>
        <v>0</v>
      </c>
      <c r="N458" s="2">
        <v>102</v>
      </c>
      <c r="O458" s="11">
        <f t="shared" si="14"/>
        <v>0</v>
      </c>
      <c r="P458" s="29">
        <f t="shared" si="15"/>
        <v>0</v>
      </c>
    </row>
    <row r="459" spans="1:16" x14ac:dyDescent="0.35">
      <c r="A459" s="2" t="s">
        <v>9</v>
      </c>
      <c r="B459" s="2" t="s">
        <v>10</v>
      </c>
      <c r="C459" s="2" t="s">
        <v>38</v>
      </c>
      <c r="D459" s="2" t="s">
        <v>13</v>
      </c>
      <c r="E459" s="2">
        <v>186</v>
      </c>
      <c r="F459" s="2">
        <v>209</v>
      </c>
      <c r="G459" s="2">
        <v>173</v>
      </c>
      <c r="H459" s="2">
        <v>1</v>
      </c>
      <c r="I459" s="2">
        <v>0</v>
      </c>
      <c r="J459" s="2">
        <f>ABS(F459-E459)</f>
        <v>23</v>
      </c>
      <c r="K459" s="29">
        <f>J459/E459</f>
        <v>0.12365591397849462</v>
      </c>
      <c r="L459" s="2">
        <f>ABS(G459-E459)</f>
        <v>13</v>
      </c>
      <c r="M459" s="50">
        <f>(L459/E459)</f>
        <v>6.9892473118279563E-2</v>
      </c>
      <c r="N459" s="2">
        <v>187</v>
      </c>
      <c r="O459" s="11">
        <f t="shared" si="14"/>
        <v>1</v>
      </c>
      <c r="P459" s="29">
        <f t="shared" si="15"/>
        <v>5.3763440860215058E-3</v>
      </c>
    </row>
    <row r="460" spans="1:16" x14ac:dyDescent="0.35">
      <c r="A460" s="2" t="s">
        <v>9</v>
      </c>
      <c r="B460" s="2" t="s">
        <v>10</v>
      </c>
      <c r="C460" s="2" t="s">
        <v>38</v>
      </c>
      <c r="D460" s="2" t="s">
        <v>14</v>
      </c>
      <c r="E460" s="2">
        <v>159</v>
      </c>
      <c r="F460" s="2">
        <v>188</v>
      </c>
      <c r="G460" s="2">
        <v>167</v>
      </c>
      <c r="H460" s="2">
        <v>1</v>
      </c>
      <c r="I460" s="2">
        <v>0</v>
      </c>
      <c r="J460" s="2">
        <f>ABS(F460-E460)</f>
        <v>29</v>
      </c>
      <c r="K460" s="29">
        <f>J460/E460</f>
        <v>0.18238993710691823</v>
      </c>
      <c r="L460" s="2">
        <f>ABS(G460-E460)</f>
        <v>8</v>
      </c>
      <c r="M460" s="50">
        <f>(L460/E460)</f>
        <v>5.0314465408805034E-2</v>
      </c>
      <c r="N460" s="2">
        <v>166</v>
      </c>
      <c r="O460" s="11">
        <f t="shared" si="14"/>
        <v>7</v>
      </c>
      <c r="P460" s="29">
        <f t="shared" si="15"/>
        <v>4.40251572327044E-2</v>
      </c>
    </row>
    <row r="461" spans="1:16" x14ac:dyDescent="0.35">
      <c r="A461" s="2" t="s">
        <v>9</v>
      </c>
      <c r="B461" s="2" t="s">
        <v>10</v>
      </c>
      <c r="C461" s="2" t="s">
        <v>38</v>
      </c>
      <c r="D461" s="2" t="s">
        <v>15</v>
      </c>
      <c r="E461" s="2">
        <v>189</v>
      </c>
      <c r="F461" s="2">
        <v>226</v>
      </c>
      <c r="G461" s="2">
        <v>196</v>
      </c>
      <c r="H461" s="2">
        <v>1</v>
      </c>
      <c r="I461" s="2">
        <v>0</v>
      </c>
      <c r="J461" s="2">
        <f>ABS(F461-E461)</f>
        <v>37</v>
      </c>
      <c r="K461" s="29">
        <f>J461/E461</f>
        <v>0.19576719576719576</v>
      </c>
      <c r="L461" s="2">
        <f>ABS(G461-E461)</f>
        <v>7</v>
      </c>
      <c r="M461" s="50">
        <f>(L461/E461)</f>
        <v>3.7037037037037035E-2</v>
      </c>
      <c r="N461" s="2">
        <v>184</v>
      </c>
      <c r="O461" s="11">
        <f t="shared" si="14"/>
        <v>5</v>
      </c>
      <c r="P461" s="29">
        <f t="shared" si="15"/>
        <v>2.6455026455026454E-2</v>
      </c>
    </row>
    <row r="462" spans="1:16" x14ac:dyDescent="0.35">
      <c r="A462" s="2" t="s">
        <v>9</v>
      </c>
      <c r="B462" s="2" t="s">
        <v>10</v>
      </c>
      <c r="C462" s="2" t="s">
        <v>38</v>
      </c>
      <c r="D462" s="2" t="s">
        <v>16</v>
      </c>
      <c r="E462" s="2">
        <v>133</v>
      </c>
      <c r="F462" s="2">
        <v>152</v>
      </c>
      <c r="G462" s="2">
        <v>126</v>
      </c>
      <c r="H462" s="2">
        <v>0</v>
      </c>
      <c r="I462" s="2">
        <v>0</v>
      </c>
      <c r="J462" s="2">
        <f>ABS(F462-E462)</f>
        <v>19</v>
      </c>
      <c r="K462" s="29">
        <f>J462/E462</f>
        <v>0.14285714285714285</v>
      </c>
      <c r="L462" s="2">
        <f>ABS(G462-E462)</f>
        <v>7</v>
      </c>
      <c r="M462" s="50">
        <f>(L462/E462)</f>
        <v>5.2631578947368418E-2</v>
      </c>
      <c r="N462" s="2">
        <v>146</v>
      </c>
      <c r="O462" s="11">
        <f t="shared" si="14"/>
        <v>13</v>
      </c>
      <c r="P462" s="29">
        <f t="shared" si="15"/>
        <v>9.7744360902255634E-2</v>
      </c>
    </row>
    <row r="463" spans="1:16" x14ac:dyDescent="0.35">
      <c r="A463" s="2" t="s">
        <v>9</v>
      </c>
      <c r="B463" s="2" t="s">
        <v>10</v>
      </c>
      <c r="C463" s="2" t="s">
        <v>38</v>
      </c>
      <c r="D463" s="2" t="s">
        <v>17</v>
      </c>
      <c r="E463" s="2">
        <v>171</v>
      </c>
      <c r="F463" s="2">
        <v>191</v>
      </c>
      <c r="G463" s="2">
        <v>158</v>
      </c>
      <c r="H463" s="2">
        <v>0</v>
      </c>
      <c r="I463" s="2">
        <v>0</v>
      </c>
      <c r="J463" s="2">
        <f>ABS(F463-E463)</f>
        <v>20</v>
      </c>
      <c r="K463" s="29">
        <f>J463/E463</f>
        <v>0.11695906432748537</v>
      </c>
      <c r="L463" s="2">
        <f>ABS(G463-E463)</f>
        <v>13</v>
      </c>
      <c r="M463" s="50">
        <f>(L463/E463)</f>
        <v>7.6023391812865493E-2</v>
      </c>
      <c r="N463" s="2">
        <v>159</v>
      </c>
      <c r="O463" s="11">
        <f t="shared" si="14"/>
        <v>12</v>
      </c>
      <c r="P463" s="29">
        <f t="shared" si="15"/>
        <v>7.0175438596491224E-2</v>
      </c>
    </row>
    <row r="464" spans="1:16" x14ac:dyDescent="0.35">
      <c r="A464" s="2" t="s">
        <v>9</v>
      </c>
      <c r="B464" s="2" t="s">
        <v>10</v>
      </c>
      <c r="C464" s="2" t="s">
        <v>38</v>
      </c>
      <c r="D464" s="2" t="s">
        <v>18</v>
      </c>
      <c r="E464" s="2">
        <v>151</v>
      </c>
      <c r="F464" s="2">
        <v>186</v>
      </c>
      <c r="G464" s="2">
        <v>157</v>
      </c>
      <c r="H464" s="2">
        <v>0</v>
      </c>
      <c r="I464" s="2">
        <v>0</v>
      </c>
      <c r="J464" s="2">
        <f>ABS(F464-E464)</f>
        <v>35</v>
      </c>
      <c r="K464" s="29">
        <f>J464/E464</f>
        <v>0.23178807947019867</v>
      </c>
      <c r="L464" s="2">
        <f>ABS(G464-E464)</f>
        <v>6</v>
      </c>
      <c r="M464" s="50">
        <f>(L464/E464)</f>
        <v>3.9735099337748346E-2</v>
      </c>
      <c r="N464" s="2">
        <v>150</v>
      </c>
      <c r="O464" s="11">
        <f t="shared" si="14"/>
        <v>1</v>
      </c>
      <c r="P464" s="29">
        <f t="shared" si="15"/>
        <v>6.6225165562913907E-3</v>
      </c>
    </row>
    <row r="465" spans="1:16" x14ac:dyDescent="0.35">
      <c r="A465" s="2" t="s">
        <v>9</v>
      </c>
      <c r="B465" s="2" t="s">
        <v>10</v>
      </c>
      <c r="C465" s="2" t="s">
        <v>38</v>
      </c>
      <c r="D465" s="2" t="s">
        <v>19</v>
      </c>
      <c r="E465" s="2">
        <v>145</v>
      </c>
      <c r="F465" s="2">
        <v>158</v>
      </c>
      <c r="G465" s="2">
        <v>144</v>
      </c>
      <c r="H465" s="2">
        <v>0</v>
      </c>
      <c r="I465" s="2">
        <v>0</v>
      </c>
      <c r="J465" s="2">
        <f>ABS(F465-E465)</f>
        <v>13</v>
      </c>
      <c r="K465" s="29">
        <f>J465/E465</f>
        <v>8.9655172413793102E-2</v>
      </c>
      <c r="L465" s="2">
        <f>ABS(G465-E465)</f>
        <v>1</v>
      </c>
      <c r="M465" s="50">
        <f>(L465/E465)</f>
        <v>6.8965517241379309E-3</v>
      </c>
      <c r="N465" s="2">
        <v>141</v>
      </c>
      <c r="O465" s="11">
        <f t="shared" si="14"/>
        <v>4</v>
      </c>
      <c r="P465" s="29">
        <f t="shared" si="15"/>
        <v>2.7586206896551724E-2</v>
      </c>
    </row>
    <row r="466" spans="1:16" x14ac:dyDescent="0.35">
      <c r="A466" s="2" t="s">
        <v>9</v>
      </c>
      <c r="B466" s="2" t="s">
        <v>10</v>
      </c>
      <c r="C466" s="2" t="s">
        <v>38</v>
      </c>
      <c r="D466" s="2" t="s">
        <v>20</v>
      </c>
      <c r="E466" s="2">
        <v>102</v>
      </c>
      <c r="F466" s="2">
        <v>126</v>
      </c>
      <c r="G466" s="2">
        <v>101</v>
      </c>
      <c r="H466" s="2">
        <v>0</v>
      </c>
      <c r="I466" s="2">
        <v>0</v>
      </c>
      <c r="J466" s="2">
        <f>ABS(F466-E466)</f>
        <v>24</v>
      </c>
      <c r="K466" s="29">
        <f>J466/E466</f>
        <v>0.23529411764705882</v>
      </c>
      <c r="L466" s="2">
        <f>ABS(G466-E466)</f>
        <v>1</v>
      </c>
      <c r="M466" s="50">
        <f>(L466/E466)</f>
        <v>9.8039215686274508E-3</v>
      </c>
      <c r="N466" s="2">
        <v>115</v>
      </c>
      <c r="O466" s="11">
        <f t="shared" si="14"/>
        <v>13</v>
      </c>
      <c r="P466" s="29">
        <f t="shared" si="15"/>
        <v>0.12745098039215685</v>
      </c>
    </row>
    <row r="467" spans="1:16" x14ac:dyDescent="0.35">
      <c r="A467" s="2" t="s">
        <v>9</v>
      </c>
      <c r="B467" s="2" t="s">
        <v>10</v>
      </c>
      <c r="C467" s="2" t="s">
        <v>38</v>
      </c>
      <c r="D467" s="2" t="s">
        <v>21</v>
      </c>
      <c r="E467" s="2">
        <v>134</v>
      </c>
      <c r="F467" s="2">
        <v>151</v>
      </c>
      <c r="G467" s="2">
        <v>130</v>
      </c>
      <c r="H467" s="2">
        <v>0</v>
      </c>
      <c r="I467" s="2">
        <v>0</v>
      </c>
      <c r="J467" s="2">
        <f>ABS(F467-E467)</f>
        <v>17</v>
      </c>
      <c r="K467" s="29">
        <f>J467/E467</f>
        <v>0.12686567164179105</v>
      </c>
      <c r="L467" s="2">
        <f>ABS(G467-E467)</f>
        <v>4</v>
      </c>
      <c r="M467" s="50">
        <f>(L467/E467)</f>
        <v>2.9850746268656716E-2</v>
      </c>
      <c r="N467" s="2">
        <v>135</v>
      </c>
      <c r="O467" s="11">
        <f t="shared" si="14"/>
        <v>1</v>
      </c>
      <c r="P467" s="29">
        <f t="shared" si="15"/>
        <v>7.462686567164179E-3</v>
      </c>
    </row>
    <row r="468" spans="1:16" x14ac:dyDescent="0.35">
      <c r="A468" s="2" t="s">
        <v>9</v>
      </c>
      <c r="B468" s="2" t="s">
        <v>10</v>
      </c>
      <c r="C468" s="2" t="s">
        <v>38</v>
      </c>
      <c r="D468" s="2" t="s">
        <v>22</v>
      </c>
      <c r="E468" s="2">
        <v>64</v>
      </c>
      <c r="F468" s="2">
        <v>85</v>
      </c>
      <c r="G468" s="2">
        <v>65</v>
      </c>
      <c r="H468" s="2">
        <v>0</v>
      </c>
      <c r="I468" s="2">
        <v>1</v>
      </c>
      <c r="J468" s="2">
        <f>ABS(F468-E468)</f>
        <v>21</v>
      </c>
      <c r="K468" s="29">
        <f>J468/E468</f>
        <v>0.328125</v>
      </c>
      <c r="L468" s="2">
        <f>ABS(G468-E468)</f>
        <v>1</v>
      </c>
      <c r="M468" s="50">
        <f>(L468/E468)</f>
        <v>1.5625E-2</v>
      </c>
      <c r="N468" s="2">
        <v>75</v>
      </c>
      <c r="O468" s="11">
        <f t="shared" si="14"/>
        <v>11</v>
      </c>
      <c r="P468" s="29">
        <f t="shared" si="15"/>
        <v>0.171875</v>
      </c>
    </row>
    <row r="469" spans="1:16" x14ac:dyDescent="0.35">
      <c r="A469" s="2" t="s">
        <v>9</v>
      </c>
      <c r="B469" s="2" t="s">
        <v>10</v>
      </c>
      <c r="C469" s="2" t="s">
        <v>38</v>
      </c>
      <c r="D469" s="2" t="s">
        <v>23</v>
      </c>
      <c r="E469" s="2">
        <v>161</v>
      </c>
      <c r="F469" s="2">
        <v>175</v>
      </c>
      <c r="G469" s="2">
        <v>159</v>
      </c>
      <c r="H469" s="2">
        <v>1</v>
      </c>
      <c r="I469" s="2">
        <v>0</v>
      </c>
      <c r="J469" s="2">
        <f>ABS(F469-E469)</f>
        <v>14</v>
      </c>
      <c r="K469" s="29">
        <f>J469/E469</f>
        <v>8.6956521739130432E-2</v>
      </c>
      <c r="L469" s="2">
        <f>ABS(G469-E469)</f>
        <v>2</v>
      </c>
      <c r="M469" s="50">
        <f>(L469/E469)</f>
        <v>1.2422360248447204E-2</v>
      </c>
      <c r="N469" s="2">
        <v>158</v>
      </c>
      <c r="O469" s="11">
        <f t="shared" si="14"/>
        <v>3</v>
      </c>
      <c r="P469" s="29">
        <f t="shared" si="15"/>
        <v>1.8633540372670808E-2</v>
      </c>
    </row>
    <row r="470" spans="1:16" x14ac:dyDescent="0.35">
      <c r="A470" s="2" t="s">
        <v>9</v>
      </c>
      <c r="B470" s="2" t="s">
        <v>10</v>
      </c>
      <c r="C470" s="2" t="s">
        <v>38</v>
      </c>
      <c r="D470" s="2" t="s">
        <v>24</v>
      </c>
      <c r="E470" s="2">
        <v>152</v>
      </c>
      <c r="F470" s="2">
        <v>203</v>
      </c>
      <c r="G470" s="2">
        <v>146</v>
      </c>
      <c r="H470" s="2">
        <v>0</v>
      </c>
      <c r="I470" s="2">
        <v>0</v>
      </c>
      <c r="J470" s="2">
        <f>ABS(F470-E470)</f>
        <v>51</v>
      </c>
      <c r="K470" s="29">
        <f>J470/E470</f>
        <v>0.33552631578947367</v>
      </c>
      <c r="L470" s="2">
        <f>ABS(G470-E470)</f>
        <v>6</v>
      </c>
      <c r="M470" s="50">
        <f>(L470/E470)</f>
        <v>3.9473684210526314E-2</v>
      </c>
      <c r="N470" s="2">
        <v>164</v>
      </c>
      <c r="O470" s="11">
        <f t="shared" si="14"/>
        <v>12</v>
      </c>
      <c r="P470" s="29">
        <f t="shared" si="15"/>
        <v>7.8947368421052627E-2</v>
      </c>
    </row>
    <row r="471" spans="1:16" x14ac:dyDescent="0.35">
      <c r="A471" s="2" t="s">
        <v>9</v>
      </c>
      <c r="B471" s="2" t="s">
        <v>10</v>
      </c>
      <c r="C471" s="2" t="s">
        <v>38</v>
      </c>
      <c r="D471" s="2" t="s">
        <v>25</v>
      </c>
      <c r="E471" s="2">
        <v>169</v>
      </c>
      <c r="F471" s="2">
        <v>190</v>
      </c>
      <c r="G471" s="2">
        <v>168</v>
      </c>
      <c r="H471" s="2">
        <v>0</v>
      </c>
      <c r="I471" s="2">
        <v>0</v>
      </c>
      <c r="J471" s="2">
        <f>ABS(F471-E471)</f>
        <v>21</v>
      </c>
      <c r="K471" s="29">
        <f>J471/E471</f>
        <v>0.1242603550295858</v>
      </c>
      <c r="L471" s="2">
        <f>ABS(G471-E471)</f>
        <v>1</v>
      </c>
      <c r="M471" s="50">
        <f>(L471/E471)</f>
        <v>5.9171597633136093E-3</v>
      </c>
      <c r="N471" s="2">
        <v>163</v>
      </c>
      <c r="O471" s="11">
        <f t="shared" si="14"/>
        <v>6</v>
      </c>
      <c r="P471" s="29">
        <f t="shared" si="15"/>
        <v>3.5502958579881658E-2</v>
      </c>
    </row>
    <row r="472" spans="1:16" x14ac:dyDescent="0.35">
      <c r="A472" s="2" t="s">
        <v>9</v>
      </c>
      <c r="B472" s="2" t="s">
        <v>10</v>
      </c>
      <c r="C472" s="2" t="s">
        <v>38</v>
      </c>
      <c r="D472" s="2" t="s">
        <v>26</v>
      </c>
      <c r="E472" s="2">
        <v>160</v>
      </c>
      <c r="F472" s="2">
        <v>199</v>
      </c>
      <c r="G472" s="2">
        <v>159</v>
      </c>
      <c r="H472" s="2">
        <v>0</v>
      </c>
      <c r="I472" s="2">
        <v>0</v>
      </c>
      <c r="J472" s="2">
        <f>ABS(F472-E472)</f>
        <v>39</v>
      </c>
      <c r="K472" s="29">
        <f>J472/E472</f>
        <v>0.24374999999999999</v>
      </c>
      <c r="L472" s="2">
        <f>ABS(G472-E472)</f>
        <v>1</v>
      </c>
      <c r="M472" s="50">
        <f>(L472/E472)</f>
        <v>6.2500000000000003E-3</v>
      </c>
      <c r="N472" s="2">
        <v>166</v>
      </c>
      <c r="O472" s="11">
        <f t="shared" si="14"/>
        <v>6</v>
      </c>
      <c r="P472" s="29">
        <f t="shared" si="15"/>
        <v>3.7499999999999999E-2</v>
      </c>
    </row>
    <row r="473" spans="1:16" x14ac:dyDescent="0.35">
      <c r="A473" s="2" t="s">
        <v>9</v>
      </c>
      <c r="B473" s="2" t="s">
        <v>10</v>
      </c>
      <c r="C473" s="2" t="s">
        <v>38</v>
      </c>
      <c r="D473" s="2" t="s">
        <v>27</v>
      </c>
      <c r="E473" s="2">
        <v>98</v>
      </c>
      <c r="F473" s="2">
        <v>103</v>
      </c>
      <c r="G473" s="2">
        <v>98</v>
      </c>
      <c r="H473" s="2">
        <v>0</v>
      </c>
      <c r="I473" s="2">
        <v>1</v>
      </c>
      <c r="J473" s="2">
        <f>ABS(F473-E473)</f>
        <v>5</v>
      </c>
      <c r="K473" s="29">
        <f>J473/E473</f>
        <v>5.1020408163265307E-2</v>
      </c>
      <c r="L473" s="2">
        <f>ABS(G473-E473)</f>
        <v>0</v>
      </c>
      <c r="M473" s="50">
        <f>(L473/E473)</f>
        <v>0</v>
      </c>
      <c r="N473" s="2">
        <v>100</v>
      </c>
      <c r="O473" s="11">
        <f t="shared" si="14"/>
        <v>2</v>
      </c>
      <c r="P473" s="29">
        <f t="shared" si="15"/>
        <v>2.0408163265306121E-2</v>
      </c>
    </row>
    <row r="474" spans="1:16" x14ac:dyDescent="0.35">
      <c r="A474" s="2" t="s">
        <v>9</v>
      </c>
      <c r="B474" s="2" t="s">
        <v>10</v>
      </c>
      <c r="C474" s="2" t="s">
        <v>38</v>
      </c>
      <c r="D474" s="2" t="s">
        <v>28</v>
      </c>
      <c r="E474" s="2">
        <v>179</v>
      </c>
      <c r="F474" s="2">
        <v>210</v>
      </c>
      <c r="G474" s="2">
        <v>191</v>
      </c>
      <c r="H474" s="2">
        <v>0</v>
      </c>
      <c r="I474" s="2">
        <v>0</v>
      </c>
      <c r="J474" s="2">
        <f>ABS(F474-E474)</f>
        <v>31</v>
      </c>
      <c r="K474" s="29">
        <f>J474/E474</f>
        <v>0.17318435754189945</v>
      </c>
      <c r="L474" s="2">
        <f>ABS(G474-E474)</f>
        <v>12</v>
      </c>
      <c r="M474" s="50">
        <f>(L474/E474)</f>
        <v>6.7039106145251395E-2</v>
      </c>
      <c r="N474" s="2">
        <v>180</v>
      </c>
      <c r="O474" s="11">
        <f t="shared" si="14"/>
        <v>1</v>
      </c>
      <c r="P474" s="29">
        <f t="shared" si="15"/>
        <v>5.5865921787709499E-3</v>
      </c>
    </row>
    <row r="475" spans="1:16" x14ac:dyDescent="0.35">
      <c r="A475" s="2" t="s">
        <v>9</v>
      </c>
      <c r="B475" s="2" t="s">
        <v>10</v>
      </c>
      <c r="C475" s="2" t="s">
        <v>38</v>
      </c>
      <c r="D475" s="2" t="s">
        <v>29</v>
      </c>
      <c r="E475" s="2">
        <v>147</v>
      </c>
      <c r="F475" s="2">
        <v>163</v>
      </c>
      <c r="G475" s="2">
        <v>147</v>
      </c>
      <c r="H475" s="2">
        <v>0</v>
      </c>
      <c r="I475" s="2">
        <v>0</v>
      </c>
      <c r="J475" s="2">
        <f>ABS(F475-E475)</f>
        <v>16</v>
      </c>
      <c r="K475" s="29">
        <f>J475/E475</f>
        <v>0.10884353741496598</v>
      </c>
      <c r="L475" s="2">
        <f>ABS(G475-E475)</f>
        <v>0</v>
      </c>
      <c r="M475" s="50">
        <f>(L475/E475)</f>
        <v>0</v>
      </c>
      <c r="N475" s="2">
        <v>149</v>
      </c>
      <c r="O475" s="11">
        <f t="shared" si="14"/>
        <v>2</v>
      </c>
      <c r="P475" s="29">
        <f t="shared" si="15"/>
        <v>1.3605442176870748E-2</v>
      </c>
    </row>
    <row r="476" spans="1:16" x14ac:dyDescent="0.35">
      <c r="A476" s="2" t="s">
        <v>9</v>
      </c>
      <c r="B476" s="2" t="s">
        <v>10</v>
      </c>
      <c r="C476" s="2" t="s">
        <v>38</v>
      </c>
      <c r="D476" s="2" t="s">
        <v>30</v>
      </c>
      <c r="E476" s="2">
        <v>147</v>
      </c>
      <c r="F476" s="2">
        <v>201</v>
      </c>
      <c r="G476" s="2">
        <v>149</v>
      </c>
      <c r="H476" s="2">
        <v>0</v>
      </c>
      <c r="I476" s="2">
        <v>0</v>
      </c>
      <c r="J476" s="2">
        <f>ABS(F476-E476)</f>
        <v>54</v>
      </c>
      <c r="K476" s="29">
        <f>J476/E476</f>
        <v>0.36734693877551022</v>
      </c>
      <c r="L476" s="2">
        <f>ABS(G476-E476)</f>
        <v>2</v>
      </c>
      <c r="M476" s="50">
        <f>(L476/E476)</f>
        <v>1.3605442176870748E-2</v>
      </c>
      <c r="N476" s="2">
        <v>156</v>
      </c>
      <c r="O476" s="11">
        <f t="shared" si="14"/>
        <v>9</v>
      </c>
      <c r="P476" s="29">
        <f t="shared" si="15"/>
        <v>6.1224489795918366E-2</v>
      </c>
    </row>
    <row r="477" spans="1:16" x14ac:dyDescent="0.35">
      <c r="A477" s="2" t="s">
        <v>9</v>
      </c>
      <c r="B477" s="2" t="s">
        <v>10</v>
      </c>
      <c r="C477" s="2" t="s">
        <v>38</v>
      </c>
      <c r="D477" s="2" t="s">
        <v>31</v>
      </c>
      <c r="E477" s="2">
        <v>133</v>
      </c>
      <c r="F477" s="2">
        <v>148</v>
      </c>
      <c r="G477" s="2">
        <v>142</v>
      </c>
      <c r="H477" s="2">
        <v>0</v>
      </c>
      <c r="I477" s="2">
        <v>0</v>
      </c>
      <c r="J477" s="2">
        <f>ABS(F477-E477)</f>
        <v>15</v>
      </c>
      <c r="K477" s="29">
        <f>J477/E477</f>
        <v>0.11278195488721804</v>
      </c>
      <c r="L477" s="2">
        <f>ABS(G477-E477)</f>
        <v>9</v>
      </c>
      <c r="M477" s="50">
        <f>(L477/E477)</f>
        <v>6.7669172932330823E-2</v>
      </c>
      <c r="N477" s="2">
        <v>134</v>
      </c>
      <c r="O477" s="11">
        <f t="shared" si="14"/>
        <v>1</v>
      </c>
      <c r="P477" s="29">
        <f t="shared" si="15"/>
        <v>7.5187969924812026E-3</v>
      </c>
    </row>
    <row r="478" spans="1:16" x14ac:dyDescent="0.35">
      <c r="A478" s="2" t="s">
        <v>9</v>
      </c>
      <c r="B478" s="2" t="s">
        <v>10</v>
      </c>
      <c r="C478" s="2" t="s">
        <v>38</v>
      </c>
      <c r="D478" s="2" t="s">
        <v>32</v>
      </c>
      <c r="E478" s="2">
        <v>115</v>
      </c>
      <c r="F478" s="2">
        <v>124</v>
      </c>
      <c r="G478" s="2">
        <v>116</v>
      </c>
      <c r="H478" s="2">
        <v>0</v>
      </c>
      <c r="I478" s="2">
        <v>0</v>
      </c>
      <c r="J478" s="2">
        <f>ABS(F478-E478)</f>
        <v>9</v>
      </c>
      <c r="K478" s="29">
        <f>J478/E478</f>
        <v>7.8260869565217397E-2</v>
      </c>
      <c r="L478" s="2">
        <f>ABS(G478-E478)</f>
        <v>1</v>
      </c>
      <c r="M478" s="50">
        <f>(L478/E478)</f>
        <v>8.6956521739130436E-3</v>
      </c>
      <c r="N478" s="2">
        <v>115</v>
      </c>
      <c r="O478" s="11">
        <f t="shared" si="14"/>
        <v>0</v>
      </c>
      <c r="P478" s="29">
        <f t="shared" si="15"/>
        <v>0</v>
      </c>
    </row>
    <row r="479" spans="1:16" x14ac:dyDescent="0.35">
      <c r="A479" s="2" t="s">
        <v>9</v>
      </c>
      <c r="B479" s="2" t="s">
        <v>10</v>
      </c>
      <c r="C479" s="2" t="s">
        <v>38</v>
      </c>
      <c r="D479" s="2" t="s">
        <v>33</v>
      </c>
      <c r="E479" s="2">
        <v>127</v>
      </c>
      <c r="F479" s="2">
        <v>105</v>
      </c>
      <c r="G479" s="2">
        <v>125</v>
      </c>
      <c r="H479" s="2">
        <v>1</v>
      </c>
      <c r="I479" s="2">
        <v>0</v>
      </c>
      <c r="J479" s="2">
        <f>ABS(F479-E479)</f>
        <v>22</v>
      </c>
      <c r="K479" s="29">
        <f>J479/E479</f>
        <v>0.17322834645669291</v>
      </c>
      <c r="L479" s="2">
        <f>ABS(G479-E479)</f>
        <v>2</v>
      </c>
      <c r="M479" s="50">
        <f>(L479/E479)</f>
        <v>1.5748031496062992E-2</v>
      </c>
      <c r="N479" s="2">
        <v>112</v>
      </c>
      <c r="O479" s="11">
        <f t="shared" si="14"/>
        <v>15</v>
      </c>
      <c r="P479" s="29">
        <f t="shared" si="15"/>
        <v>0.11811023622047244</v>
      </c>
    </row>
    <row r="480" spans="1:16" x14ac:dyDescent="0.35">
      <c r="A480" s="2" t="s">
        <v>9</v>
      </c>
      <c r="B480" s="2" t="s">
        <v>10</v>
      </c>
      <c r="C480" s="2" t="s">
        <v>38</v>
      </c>
      <c r="D480" s="2" t="s">
        <v>34</v>
      </c>
      <c r="E480" s="2">
        <v>134</v>
      </c>
      <c r="F480" s="2">
        <v>192</v>
      </c>
      <c r="G480" s="2">
        <v>143</v>
      </c>
      <c r="H480" s="2">
        <v>1</v>
      </c>
      <c r="I480" s="2">
        <v>0</v>
      </c>
      <c r="J480" s="2">
        <f>ABS(F480-E480)</f>
        <v>58</v>
      </c>
      <c r="K480" s="29">
        <f>J480/E480</f>
        <v>0.43283582089552236</v>
      </c>
      <c r="L480" s="2">
        <f>ABS(G480-E480)</f>
        <v>9</v>
      </c>
      <c r="M480" s="50">
        <f>(L480/E480)</f>
        <v>6.7164179104477612E-2</v>
      </c>
      <c r="N480" s="2">
        <v>153</v>
      </c>
      <c r="O480" s="11">
        <f t="shared" si="14"/>
        <v>19</v>
      </c>
      <c r="P480" s="29">
        <f t="shared" si="15"/>
        <v>0.1417910447761194</v>
      </c>
    </row>
    <row r="481" spans="1:16" x14ac:dyDescent="0.35">
      <c r="A481" s="2" t="s">
        <v>9</v>
      </c>
      <c r="B481" s="2" t="s">
        <v>10</v>
      </c>
      <c r="C481" s="2" t="s">
        <v>38</v>
      </c>
      <c r="D481" s="2" t="s">
        <v>35</v>
      </c>
      <c r="E481" s="2">
        <v>151</v>
      </c>
      <c r="F481" s="2">
        <v>181</v>
      </c>
      <c r="G481" s="2">
        <v>157</v>
      </c>
      <c r="H481" s="2">
        <v>0</v>
      </c>
      <c r="I481" s="2">
        <v>0</v>
      </c>
      <c r="J481" s="2">
        <f>ABS(F481-E481)</f>
        <v>30</v>
      </c>
      <c r="K481" s="29">
        <f>J481/E481</f>
        <v>0.19867549668874171</v>
      </c>
      <c r="L481" s="2">
        <f>ABS(G481-E481)</f>
        <v>6</v>
      </c>
      <c r="M481" s="50">
        <f>(L481/E481)</f>
        <v>3.9735099337748346E-2</v>
      </c>
      <c r="N481" s="2">
        <v>153</v>
      </c>
      <c r="O481" s="11">
        <f t="shared" si="14"/>
        <v>2</v>
      </c>
      <c r="P481" s="29">
        <f t="shared" si="15"/>
        <v>1.3245033112582781E-2</v>
      </c>
    </row>
    <row r="482" spans="1:16" x14ac:dyDescent="0.35">
      <c r="A482" s="2" t="s">
        <v>39</v>
      </c>
      <c r="B482" s="2" t="s">
        <v>10</v>
      </c>
      <c r="C482" s="2" t="s">
        <v>11</v>
      </c>
      <c r="D482" s="2" t="s">
        <v>12</v>
      </c>
      <c r="E482" s="2">
        <v>98</v>
      </c>
      <c r="F482" s="2">
        <v>101</v>
      </c>
      <c r="G482" s="2">
        <v>88</v>
      </c>
      <c r="H482" s="2">
        <v>0</v>
      </c>
      <c r="I482" s="2">
        <v>0</v>
      </c>
      <c r="J482" s="2">
        <f>ABS(F482-E482)</f>
        <v>3</v>
      </c>
      <c r="K482" s="29">
        <f>J482/E482</f>
        <v>3.0612244897959183E-2</v>
      </c>
      <c r="L482" s="2">
        <f>ABS(G482-E482)</f>
        <v>10</v>
      </c>
      <c r="M482" s="50">
        <f>(L482/E482)</f>
        <v>0.10204081632653061</v>
      </c>
      <c r="N482" s="2">
        <v>96</v>
      </c>
      <c r="O482" s="11">
        <f t="shared" si="14"/>
        <v>2</v>
      </c>
      <c r="P482" s="29">
        <f t="shared" si="15"/>
        <v>2.0408163265306121E-2</v>
      </c>
    </row>
    <row r="483" spans="1:16" x14ac:dyDescent="0.35">
      <c r="A483" s="2" t="s">
        <v>39</v>
      </c>
      <c r="B483" s="2" t="s">
        <v>10</v>
      </c>
      <c r="C483" s="2" t="s">
        <v>11</v>
      </c>
      <c r="D483" s="2" t="s">
        <v>13</v>
      </c>
      <c r="E483" s="2">
        <v>122</v>
      </c>
      <c r="F483" s="2">
        <v>155</v>
      </c>
      <c r="G483" s="2">
        <v>123</v>
      </c>
      <c r="H483" s="2">
        <v>1</v>
      </c>
      <c r="I483" s="2">
        <v>0</v>
      </c>
      <c r="J483" s="2">
        <f>ABS(F483-E483)</f>
        <v>33</v>
      </c>
      <c r="K483" s="29">
        <f>J483/E483</f>
        <v>0.27049180327868855</v>
      </c>
      <c r="L483" s="2">
        <f>ABS(G483-E483)</f>
        <v>1</v>
      </c>
      <c r="M483" s="50">
        <f>(L483/E483)</f>
        <v>8.1967213114754103E-3</v>
      </c>
      <c r="N483" s="2">
        <v>141</v>
      </c>
      <c r="O483" s="11">
        <f t="shared" si="14"/>
        <v>19</v>
      </c>
      <c r="P483" s="29">
        <f t="shared" si="15"/>
        <v>0.15573770491803279</v>
      </c>
    </row>
    <row r="484" spans="1:16" x14ac:dyDescent="0.35">
      <c r="A484" s="2" t="s">
        <v>39</v>
      </c>
      <c r="B484" s="2" t="s">
        <v>10</v>
      </c>
      <c r="C484" s="2" t="s">
        <v>11</v>
      </c>
      <c r="D484" s="2" t="s">
        <v>14</v>
      </c>
      <c r="E484" s="2">
        <v>109</v>
      </c>
      <c r="F484" s="2">
        <v>124</v>
      </c>
      <c r="G484" s="2">
        <v>100</v>
      </c>
      <c r="H484" s="2">
        <v>1</v>
      </c>
      <c r="I484" s="2">
        <v>0</v>
      </c>
      <c r="J484" s="2">
        <f>ABS(F484-E484)</f>
        <v>15</v>
      </c>
      <c r="K484" s="29">
        <f>J484/E484</f>
        <v>0.13761467889908258</v>
      </c>
      <c r="L484" s="2">
        <f>ABS(G484-E484)</f>
        <v>9</v>
      </c>
      <c r="M484" s="50">
        <f>(L484/E484)</f>
        <v>8.2568807339449546E-2</v>
      </c>
      <c r="N484" s="2">
        <v>114</v>
      </c>
      <c r="O484" s="11">
        <f t="shared" si="14"/>
        <v>5</v>
      </c>
      <c r="P484" s="29">
        <f t="shared" si="15"/>
        <v>4.5871559633027525E-2</v>
      </c>
    </row>
    <row r="485" spans="1:16" x14ac:dyDescent="0.35">
      <c r="A485" s="2" t="s">
        <v>39</v>
      </c>
      <c r="B485" s="2" t="s">
        <v>10</v>
      </c>
      <c r="C485" s="2" t="s">
        <v>11</v>
      </c>
      <c r="D485" s="2" t="s">
        <v>15</v>
      </c>
      <c r="E485" s="2">
        <v>114</v>
      </c>
      <c r="F485" s="2">
        <v>128</v>
      </c>
      <c r="G485" s="2">
        <v>102</v>
      </c>
      <c r="H485" s="2">
        <v>0</v>
      </c>
      <c r="I485" s="2">
        <v>0</v>
      </c>
      <c r="J485" s="2">
        <f>ABS(F485-E485)</f>
        <v>14</v>
      </c>
      <c r="K485" s="29">
        <f>J485/E485</f>
        <v>0.12280701754385964</v>
      </c>
      <c r="L485" s="2">
        <f>ABS(G485-E485)</f>
        <v>12</v>
      </c>
      <c r="M485" s="50">
        <f>(L485/E485)</f>
        <v>0.10526315789473684</v>
      </c>
      <c r="N485" s="2">
        <v>114</v>
      </c>
      <c r="O485" s="11">
        <f t="shared" si="14"/>
        <v>0</v>
      </c>
      <c r="P485" s="29">
        <f t="shared" si="15"/>
        <v>0</v>
      </c>
    </row>
    <row r="486" spans="1:16" x14ac:dyDescent="0.35">
      <c r="A486" s="2" t="s">
        <v>39</v>
      </c>
      <c r="B486" s="2" t="s">
        <v>10</v>
      </c>
      <c r="C486" s="2" t="s">
        <v>11</v>
      </c>
      <c r="D486" s="2" t="s">
        <v>16</v>
      </c>
      <c r="E486" s="2">
        <v>111</v>
      </c>
      <c r="F486" s="2">
        <v>111</v>
      </c>
      <c r="G486" s="2">
        <v>114</v>
      </c>
      <c r="H486" s="2">
        <v>0</v>
      </c>
      <c r="I486" s="2">
        <v>0</v>
      </c>
      <c r="J486" s="2">
        <f>ABS(F486-E486)</f>
        <v>0</v>
      </c>
      <c r="K486" s="29">
        <f>J486/E486</f>
        <v>0</v>
      </c>
      <c r="L486" s="2">
        <f>ABS(G486-E486)</f>
        <v>3</v>
      </c>
      <c r="M486" s="50">
        <f>(L486/E486)</f>
        <v>2.7027027027027029E-2</v>
      </c>
      <c r="N486" s="2">
        <v>111</v>
      </c>
      <c r="O486" s="11">
        <f t="shared" si="14"/>
        <v>0</v>
      </c>
      <c r="P486" s="29">
        <f t="shared" si="15"/>
        <v>0</v>
      </c>
    </row>
    <row r="487" spans="1:16" x14ac:dyDescent="0.35">
      <c r="A487" s="2" t="s">
        <v>39</v>
      </c>
      <c r="B487" s="2" t="s">
        <v>10</v>
      </c>
      <c r="C487" s="2" t="s">
        <v>11</v>
      </c>
      <c r="D487" s="2" t="s">
        <v>17</v>
      </c>
      <c r="E487" s="2">
        <v>79</v>
      </c>
      <c r="F487" s="2">
        <v>89</v>
      </c>
      <c r="G487" s="2">
        <v>79</v>
      </c>
      <c r="H487" s="2">
        <v>0</v>
      </c>
      <c r="I487" s="2">
        <v>0</v>
      </c>
      <c r="J487" s="2">
        <f>ABS(F487-E487)</f>
        <v>10</v>
      </c>
      <c r="K487" s="29">
        <f>J487/E487</f>
        <v>0.12658227848101267</v>
      </c>
      <c r="L487" s="2">
        <f>ABS(G487-E487)</f>
        <v>0</v>
      </c>
      <c r="M487" s="50">
        <f>(L487/E487)</f>
        <v>0</v>
      </c>
      <c r="N487" s="2">
        <v>85</v>
      </c>
      <c r="O487" s="11">
        <f t="shared" si="14"/>
        <v>6</v>
      </c>
      <c r="P487" s="29">
        <f t="shared" si="15"/>
        <v>7.5949367088607597E-2</v>
      </c>
    </row>
    <row r="488" spans="1:16" x14ac:dyDescent="0.35">
      <c r="A488" s="2" t="s">
        <v>39</v>
      </c>
      <c r="B488" s="2" t="s">
        <v>10</v>
      </c>
      <c r="C488" s="2" t="s">
        <v>11</v>
      </c>
      <c r="D488" s="2" t="s">
        <v>18</v>
      </c>
      <c r="E488" s="2">
        <v>74</v>
      </c>
      <c r="F488" s="2">
        <v>87</v>
      </c>
      <c r="G488" s="2">
        <v>73</v>
      </c>
      <c r="H488" s="2">
        <v>0</v>
      </c>
      <c r="I488" s="2">
        <v>0</v>
      </c>
      <c r="J488" s="2">
        <f>ABS(F488-E488)</f>
        <v>13</v>
      </c>
      <c r="K488" s="29">
        <f>J488/E488</f>
        <v>0.17567567567567569</v>
      </c>
      <c r="L488" s="2">
        <f>ABS(G488-E488)</f>
        <v>1</v>
      </c>
      <c r="M488" s="50">
        <f>(L488/E488)</f>
        <v>1.3513513513513514E-2</v>
      </c>
      <c r="N488" s="2">
        <v>79</v>
      </c>
      <c r="O488" s="11">
        <f t="shared" si="14"/>
        <v>5</v>
      </c>
      <c r="P488" s="29">
        <f t="shared" si="15"/>
        <v>6.7567567567567571E-2</v>
      </c>
    </row>
    <row r="489" spans="1:16" x14ac:dyDescent="0.35">
      <c r="A489" s="2" t="s">
        <v>39</v>
      </c>
      <c r="B489" s="2" t="s">
        <v>10</v>
      </c>
      <c r="C489" s="2" t="s">
        <v>11</v>
      </c>
      <c r="D489" s="2" t="s">
        <v>19</v>
      </c>
      <c r="E489" s="2">
        <v>71</v>
      </c>
      <c r="F489" s="2">
        <v>82</v>
      </c>
      <c r="G489" s="2">
        <v>69</v>
      </c>
      <c r="H489" s="2">
        <v>0</v>
      </c>
      <c r="I489" s="2">
        <v>0</v>
      </c>
      <c r="J489" s="2">
        <f>ABS(F489-E489)</f>
        <v>11</v>
      </c>
      <c r="K489" s="29">
        <f>J489/E489</f>
        <v>0.15492957746478872</v>
      </c>
      <c r="L489" s="2">
        <f>ABS(G489-E489)</f>
        <v>2</v>
      </c>
      <c r="M489" s="50">
        <f>(L489/E489)</f>
        <v>2.8169014084507043E-2</v>
      </c>
      <c r="N489" s="2">
        <v>75</v>
      </c>
      <c r="O489" s="11">
        <f t="shared" si="14"/>
        <v>4</v>
      </c>
      <c r="P489" s="29">
        <f t="shared" si="15"/>
        <v>5.6338028169014086E-2</v>
      </c>
    </row>
    <row r="490" spans="1:16" x14ac:dyDescent="0.35">
      <c r="A490" s="2" t="s">
        <v>39</v>
      </c>
      <c r="B490" s="2" t="s">
        <v>10</v>
      </c>
      <c r="C490" s="2" t="s">
        <v>11</v>
      </c>
      <c r="D490" s="2" t="s">
        <v>20</v>
      </c>
      <c r="E490" s="2">
        <v>65</v>
      </c>
      <c r="F490" s="2">
        <v>68</v>
      </c>
      <c r="G490" s="2">
        <v>71</v>
      </c>
      <c r="H490" s="2">
        <v>0</v>
      </c>
      <c r="I490" s="2">
        <v>0</v>
      </c>
      <c r="J490" s="2">
        <f>ABS(F490-E490)</f>
        <v>3</v>
      </c>
      <c r="K490" s="29">
        <f>J490/E490</f>
        <v>4.6153846153846156E-2</v>
      </c>
      <c r="L490" s="2">
        <f>ABS(G490-E490)</f>
        <v>6</v>
      </c>
      <c r="M490" s="50">
        <f>(L490/E490)</f>
        <v>9.2307692307692313E-2</v>
      </c>
      <c r="N490" s="2">
        <v>66</v>
      </c>
      <c r="O490" s="11">
        <f t="shared" si="14"/>
        <v>1</v>
      </c>
      <c r="P490" s="29">
        <f t="shared" si="15"/>
        <v>1.5384615384615385E-2</v>
      </c>
    </row>
    <row r="491" spans="1:16" x14ac:dyDescent="0.35">
      <c r="A491" s="2" t="s">
        <v>39</v>
      </c>
      <c r="B491" s="2" t="s">
        <v>10</v>
      </c>
      <c r="C491" s="2" t="s">
        <v>11</v>
      </c>
      <c r="D491" s="2" t="s">
        <v>21</v>
      </c>
      <c r="E491" s="2">
        <v>70</v>
      </c>
      <c r="F491" s="2">
        <v>77</v>
      </c>
      <c r="G491" s="2">
        <v>70</v>
      </c>
      <c r="H491" s="2">
        <v>0</v>
      </c>
      <c r="I491" s="2">
        <v>0</v>
      </c>
      <c r="J491" s="2">
        <f>ABS(F491-E491)</f>
        <v>7</v>
      </c>
      <c r="K491" s="29">
        <f>J491/E491</f>
        <v>0.1</v>
      </c>
      <c r="L491" s="2">
        <f>ABS(G491-E491)</f>
        <v>0</v>
      </c>
      <c r="M491" s="50">
        <f>(L491/E491)</f>
        <v>0</v>
      </c>
      <c r="N491" s="2">
        <v>70</v>
      </c>
      <c r="O491" s="11">
        <f t="shared" si="14"/>
        <v>0</v>
      </c>
      <c r="P491" s="29">
        <f t="shared" si="15"/>
        <v>0</v>
      </c>
    </row>
    <row r="492" spans="1:16" x14ac:dyDescent="0.35">
      <c r="A492" s="2" t="s">
        <v>39</v>
      </c>
      <c r="B492" s="2" t="s">
        <v>10</v>
      </c>
      <c r="C492" s="2" t="s">
        <v>11</v>
      </c>
      <c r="D492" s="2" t="s">
        <v>22</v>
      </c>
      <c r="E492" s="2">
        <v>42</v>
      </c>
      <c r="F492" s="2">
        <v>42</v>
      </c>
      <c r="G492" s="2">
        <v>45</v>
      </c>
      <c r="H492" s="2">
        <v>0</v>
      </c>
      <c r="I492" s="2">
        <v>1</v>
      </c>
      <c r="J492" s="2">
        <f>ABS(F492-E492)</f>
        <v>0</v>
      </c>
      <c r="K492" s="29">
        <f>J492/E492</f>
        <v>0</v>
      </c>
      <c r="L492" s="2">
        <f>ABS(G492-E492)</f>
        <v>3</v>
      </c>
      <c r="M492" s="50">
        <f>(L492/E492)</f>
        <v>7.1428571428571425E-2</v>
      </c>
      <c r="N492" s="2">
        <v>37</v>
      </c>
      <c r="O492" s="11">
        <f t="shared" si="14"/>
        <v>5</v>
      </c>
      <c r="P492" s="29">
        <f t="shared" si="15"/>
        <v>0.11904761904761904</v>
      </c>
    </row>
    <row r="493" spans="1:16" x14ac:dyDescent="0.35">
      <c r="A493" s="2" t="s">
        <v>39</v>
      </c>
      <c r="B493" s="2" t="s">
        <v>10</v>
      </c>
      <c r="C493" s="2" t="s">
        <v>11</v>
      </c>
      <c r="D493" s="2" t="s">
        <v>23</v>
      </c>
      <c r="E493" s="2">
        <v>89</v>
      </c>
      <c r="F493" s="2">
        <v>99</v>
      </c>
      <c r="G493" s="2">
        <v>85</v>
      </c>
      <c r="H493" s="2">
        <v>0</v>
      </c>
      <c r="I493" s="2">
        <v>0</v>
      </c>
      <c r="J493" s="2">
        <f>ABS(F493-E493)</f>
        <v>10</v>
      </c>
      <c r="K493" s="29">
        <f>J493/E493</f>
        <v>0.11235955056179775</v>
      </c>
      <c r="L493" s="2">
        <f>ABS(G493-E493)</f>
        <v>4</v>
      </c>
      <c r="M493" s="50">
        <f>(L493/E493)</f>
        <v>4.49438202247191E-2</v>
      </c>
      <c r="N493" s="2">
        <v>90</v>
      </c>
      <c r="O493" s="11">
        <f t="shared" si="14"/>
        <v>1</v>
      </c>
      <c r="P493" s="29">
        <f t="shared" si="15"/>
        <v>1.1235955056179775E-2</v>
      </c>
    </row>
    <row r="494" spans="1:16" x14ac:dyDescent="0.35">
      <c r="A494" s="2" t="s">
        <v>39</v>
      </c>
      <c r="B494" s="2" t="s">
        <v>10</v>
      </c>
      <c r="C494" s="2" t="s">
        <v>11</v>
      </c>
      <c r="D494" s="2" t="s">
        <v>24</v>
      </c>
      <c r="E494" s="2">
        <v>84</v>
      </c>
      <c r="F494" s="2">
        <v>76</v>
      </c>
      <c r="G494" s="2">
        <v>85</v>
      </c>
      <c r="H494" s="2">
        <v>1</v>
      </c>
      <c r="I494" s="2">
        <v>0</v>
      </c>
      <c r="J494" s="2">
        <f>ABS(F494-E494)</f>
        <v>8</v>
      </c>
      <c r="K494" s="29">
        <f>J494/E494</f>
        <v>9.5238095238095233E-2</v>
      </c>
      <c r="L494" s="2">
        <f>ABS(G494-E494)</f>
        <v>1</v>
      </c>
      <c r="M494" s="50">
        <f>(L494/E494)</f>
        <v>1.1904761904761904E-2</v>
      </c>
      <c r="N494" s="2">
        <v>82</v>
      </c>
      <c r="O494" s="11">
        <f t="shared" si="14"/>
        <v>2</v>
      </c>
      <c r="P494" s="29">
        <f t="shared" si="15"/>
        <v>2.3809523809523808E-2</v>
      </c>
    </row>
    <row r="495" spans="1:16" x14ac:dyDescent="0.35">
      <c r="A495" s="2" t="s">
        <v>39</v>
      </c>
      <c r="B495" s="2" t="s">
        <v>10</v>
      </c>
      <c r="C495" s="2" t="s">
        <v>11</v>
      </c>
      <c r="D495" s="2" t="s">
        <v>25</v>
      </c>
      <c r="E495" s="2">
        <v>97</v>
      </c>
      <c r="F495" s="2">
        <v>89</v>
      </c>
      <c r="G495" s="2">
        <v>98</v>
      </c>
      <c r="H495" s="2">
        <v>0</v>
      </c>
      <c r="I495" s="2">
        <v>0</v>
      </c>
      <c r="J495" s="2">
        <f>ABS(F495-E495)</f>
        <v>8</v>
      </c>
      <c r="K495" s="29">
        <f>J495/E495</f>
        <v>8.247422680412371E-2</v>
      </c>
      <c r="L495" s="2">
        <f>ABS(G495-E495)</f>
        <v>1</v>
      </c>
      <c r="M495" s="50">
        <f>(L495/E495)</f>
        <v>1.0309278350515464E-2</v>
      </c>
      <c r="N495" s="2">
        <v>94</v>
      </c>
      <c r="O495" s="11">
        <f t="shared" si="14"/>
        <v>3</v>
      </c>
      <c r="P495" s="29">
        <f t="shared" si="15"/>
        <v>3.0927835051546393E-2</v>
      </c>
    </row>
    <row r="496" spans="1:16" x14ac:dyDescent="0.35">
      <c r="A496" s="2" t="s">
        <v>39</v>
      </c>
      <c r="B496" s="2" t="s">
        <v>10</v>
      </c>
      <c r="C496" s="2" t="s">
        <v>11</v>
      </c>
      <c r="D496" s="2" t="s">
        <v>26</v>
      </c>
      <c r="E496" s="2">
        <v>118</v>
      </c>
      <c r="F496" s="2">
        <v>112</v>
      </c>
      <c r="G496" s="2">
        <v>133</v>
      </c>
      <c r="H496" s="2">
        <v>0</v>
      </c>
      <c r="I496" s="2">
        <v>0</v>
      </c>
      <c r="J496" s="2">
        <f>ABS(F496-E496)</f>
        <v>6</v>
      </c>
      <c r="K496" s="29">
        <f>J496/E496</f>
        <v>5.0847457627118647E-2</v>
      </c>
      <c r="L496" s="2">
        <f>ABS(G496-E496)</f>
        <v>15</v>
      </c>
      <c r="M496" s="50">
        <f>(L496/E496)</f>
        <v>0.1271186440677966</v>
      </c>
      <c r="N496" s="2">
        <v>106</v>
      </c>
      <c r="O496" s="11">
        <f t="shared" si="14"/>
        <v>12</v>
      </c>
      <c r="P496" s="29">
        <f t="shared" si="15"/>
        <v>0.10169491525423729</v>
      </c>
    </row>
    <row r="497" spans="1:16" x14ac:dyDescent="0.35">
      <c r="A497" s="2" t="s">
        <v>39</v>
      </c>
      <c r="B497" s="2" t="s">
        <v>10</v>
      </c>
      <c r="C497" s="2" t="s">
        <v>11</v>
      </c>
      <c r="D497" s="2" t="s">
        <v>27</v>
      </c>
      <c r="E497" s="2">
        <v>95</v>
      </c>
      <c r="F497" s="2">
        <v>116</v>
      </c>
      <c r="G497" s="2">
        <v>104</v>
      </c>
      <c r="H497" s="2">
        <v>0</v>
      </c>
      <c r="I497" s="2">
        <v>0</v>
      </c>
      <c r="J497" s="2">
        <f>ABS(F497-E497)</f>
        <v>21</v>
      </c>
      <c r="K497" s="29">
        <f>J497/E497</f>
        <v>0.22105263157894736</v>
      </c>
      <c r="L497" s="2">
        <f>ABS(G497-E497)</f>
        <v>9</v>
      </c>
      <c r="M497" s="50">
        <f>(L497/E497)</f>
        <v>9.4736842105263161E-2</v>
      </c>
      <c r="N497" s="2">
        <v>103</v>
      </c>
      <c r="O497" s="11">
        <f t="shared" si="14"/>
        <v>8</v>
      </c>
      <c r="P497" s="29">
        <f t="shared" si="15"/>
        <v>8.4210526315789472E-2</v>
      </c>
    </row>
    <row r="498" spans="1:16" x14ac:dyDescent="0.35">
      <c r="A498" s="2" t="s">
        <v>39</v>
      </c>
      <c r="B498" s="2" t="s">
        <v>10</v>
      </c>
      <c r="C498" s="2" t="s">
        <v>11</v>
      </c>
      <c r="D498" s="2" t="s">
        <v>28</v>
      </c>
      <c r="E498" s="2">
        <v>97</v>
      </c>
      <c r="F498" s="2">
        <v>113</v>
      </c>
      <c r="G498" s="2">
        <v>96</v>
      </c>
      <c r="H498" s="2">
        <v>0</v>
      </c>
      <c r="I498" s="2">
        <v>0</v>
      </c>
      <c r="J498" s="2">
        <f>ABS(F498-E498)</f>
        <v>16</v>
      </c>
      <c r="K498" s="29">
        <f>J498/E498</f>
        <v>0.16494845360824742</v>
      </c>
      <c r="L498" s="2">
        <f>ABS(G498-E498)</f>
        <v>1</v>
      </c>
      <c r="M498" s="50">
        <f>(L498/E498)</f>
        <v>1.0309278350515464E-2</v>
      </c>
      <c r="N498" s="2">
        <v>100</v>
      </c>
      <c r="O498" s="11">
        <f t="shared" si="14"/>
        <v>3</v>
      </c>
      <c r="P498" s="29">
        <f t="shared" si="15"/>
        <v>3.0927835051546393E-2</v>
      </c>
    </row>
    <row r="499" spans="1:16" x14ac:dyDescent="0.35">
      <c r="A499" s="2" t="s">
        <v>39</v>
      </c>
      <c r="B499" s="2" t="s">
        <v>10</v>
      </c>
      <c r="C499" s="2" t="s">
        <v>11</v>
      </c>
      <c r="D499" s="2" t="s">
        <v>29</v>
      </c>
      <c r="E499" s="2">
        <v>36</v>
      </c>
      <c r="F499" s="2">
        <v>38</v>
      </c>
      <c r="G499" s="2">
        <v>31</v>
      </c>
      <c r="H499" s="2">
        <v>0</v>
      </c>
      <c r="I499" s="2">
        <v>1</v>
      </c>
      <c r="J499" s="2">
        <f>ABS(F499-E499)</f>
        <v>2</v>
      </c>
      <c r="K499" s="29">
        <f>J499/E499</f>
        <v>5.5555555555555552E-2</v>
      </c>
      <c r="L499" s="2">
        <f>ABS(G499-E499)</f>
        <v>5</v>
      </c>
      <c r="M499" s="50">
        <f>(L499/E499)</f>
        <v>0.1388888888888889</v>
      </c>
      <c r="N499" s="2">
        <v>36</v>
      </c>
      <c r="O499" s="11">
        <f t="shared" si="14"/>
        <v>0</v>
      </c>
      <c r="P499" s="29">
        <f t="shared" si="15"/>
        <v>0</v>
      </c>
    </row>
    <row r="500" spans="1:16" x14ac:dyDescent="0.35">
      <c r="A500" s="2" t="s">
        <v>39</v>
      </c>
      <c r="B500" s="2" t="s">
        <v>10</v>
      </c>
      <c r="C500" s="2" t="s">
        <v>11</v>
      </c>
      <c r="D500" s="2" t="s">
        <v>30</v>
      </c>
      <c r="E500" s="2">
        <v>84</v>
      </c>
      <c r="F500" s="2">
        <v>92</v>
      </c>
      <c r="G500" s="2">
        <v>91</v>
      </c>
      <c r="H500" s="2">
        <v>1</v>
      </c>
      <c r="I500" s="2">
        <v>0</v>
      </c>
      <c r="J500" s="2">
        <f>ABS(F500-E500)</f>
        <v>8</v>
      </c>
      <c r="K500" s="29">
        <f>J500/E500</f>
        <v>9.5238095238095233E-2</v>
      </c>
      <c r="L500" s="2">
        <f>ABS(G500-E500)</f>
        <v>7</v>
      </c>
      <c r="M500" s="50">
        <f>(L500/E500)</f>
        <v>8.3333333333333329E-2</v>
      </c>
      <c r="N500" s="2">
        <v>86</v>
      </c>
      <c r="O500" s="11">
        <f t="shared" si="14"/>
        <v>2</v>
      </c>
      <c r="P500" s="29">
        <f t="shared" si="15"/>
        <v>2.3809523809523808E-2</v>
      </c>
    </row>
    <row r="501" spans="1:16" x14ac:dyDescent="0.35">
      <c r="A501" s="2" t="s">
        <v>39</v>
      </c>
      <c r="B501" s="2" t="s">
        <v>10</v>
      </c>
      <c r="C501" s="2" t="s">
        <v>11</v>
      </c>
      <c r="D501" s="2" t="s">
        <v>31</v>
      </c>
      <c r="E501" s="2">
        <v>71</v>
      </c>
      <c r="F501" s="2">
        <v>64</v>
      </c>
      <c r="G501" s="2">
        <v>80</v>
      </c>
      <c r="H501" s="2">
        <v>1</v>
      </c>
      <c r="I501" s="2">
        <v>0</v>
      </c>
      <c r="J501" s="2">
        <f>ABS(F501-E501)</f>
        <v>7</v>
      </c>
      <c r="K501" s="29">
        <f>J501/E501</f>
        <v>9.8591549295774641E-2</v>
      </c>
      <c r="L501" s="2">
        <f>ABS(G501-E501)</f>
        <v>9</v>
      </c>
      <c r="M501" s="50">
        <f>(L501/E501)</f>
        <v>0.12676056338028169</v>
      </c>
      <c r="N501" s="2">
        <v>66</v>
      </c>
      <c r="O501" s="11">
        <f t="shared" si="14"/>
        <v>5</v>
      </c>
      <c r="P501" s="29">
        <f t="shared" si="15"/>
        <v>7.0422535211267609E-2</v>
      </c>
    </row>
    <row r="502" spans="1:16" x14ac:dyDescent="0.35">
      <c r="A502" s="2" t="s">
        <v>39</v>
      </c>
      <c r="B502" s="2" t="s">
        <v>10</v>
      </c>
      <c r="C502" s="2" t="s">
        <v>11</v>
      </c>
      <c r="D502" s="2" t="s">
        <v>32</v>
      </c>
      <c r="E502" s="2">
        <v>74</v>
      </c>
      <c r="F502" s="2">
        <v>74</v>
      </c>
      <c r="G502" s="2">
        <v>80</v>
      </c>
      <c r="H502" s="2">
        <v>1</v>
      </c>
      <c r="I502" s="2">
        <v>0</v>
      </c>
      <c r="J502" s="2">
        <f>ABS(F502-E502)</f>
        <v>0</v>
      </c>
      <c r="K502" s="29">
        <f>J502/E502</f>
        <v>0</v>
      </c>
      <c r="L502" s="2">
        <f>ABS(G502-E502)</f>
        <v>6</v>
      </c>
      <c r="M502" s="50">
        <f>(L502/E502)</f>
        <v>8.1081081081081086E-2</v>
      </c>
      <c r="N502" s="2">
        <v>72</v>
      </c>
      <c r="O502" s="11">
        <f t="shared" si="14"/>
        <v>2</v>
      </c>
      <c r="P502" s="29">
        <f t="shared" si="15"/>
        <v>2.7027027027027029E-2</v>
      </c>
    </row>
    <row r="503" spans="1:16" x14ac:dyDescent="0.35">
      <c r="A503" s="2" t="s">
        <v>39</v>
      </c>
      <c r="B503" s="2" t="s">
        <v>10</v>
      </c>
      <c r="C503" s="2" t="s">
        <v>11</v>
      </c>
      <c r="D503" s="2" t="s">
        <v>33</v>
      </c>
      <c r="E503" s="2">
        <v>73</v>
      </c>
      <c r="F503" s="2">
        <v>84</v>
      </c>
      <c r="G503" s="2">
        <v>73</v>
      </c>
      <c r="H503" s="2">
        <v>1</v>
      </c>
      <c r="I503" s="2">
        <v>0</v>
      </c>
      <c r="J503" s="2">
        <f>ABS(F503-E503)</f>
        <v>11</v>
      </c>
      <c r="K503" s="29">
        <f>J503/E503</f>
        <v>0.15068493150684931</v>
      </c>
      <c r="L503" s="2">
        <f>ABS(G503-E503)</f>
        <v>0</v>
      </c>
      <c r="M503" s="50">
        <f>(L503/E503)</f>
        <v>0</v>
      </c>
      <c r="N503" s="2">
        <v>74</v>
      </c>
      <c r="O503" s="11">
        <f t="shared" si="14"/>
        <v>1</v>
      </c>
      <c r="P503" s="29">
        <f t="shared" si="15"/>
        <v>1.3698630136986301E-2</v>
      </c>
    </row>
    <row r="504" spans="1:16" x14ac:dyDescent="0.35">
      <c r="A504" s="2" t="s">
        <v>39</v>
      </c>
      <c r="B504" s="2" t="s">
        <v>10</v>
      </c>
      <c r="C504" s="2" t="s">
        <v>11</v>
      </c>
      <c r="D504" s="2" t="s">
        <v>34</v>
      </c>
      <c r="E504" s="2">
        <v>72</v>
      </c>
      <c r="F504" s="2">
        <v>62</v>
      </c>
      <c r="G504" s="2">
        <v>79</v>
      </c>
      <c r="H504" s="2">
        <v>0</v>
      </c>
      <c r="I504" s="2">
        <v>0</v>
      </c>
      <c r="J504" s="2">
        <f>ABS(F504-E504)</f>
        <v>10</v>
      </c>
      <c r="K504" s="29">
        <f>J504/E504</f>
        <v>0.1388888888888889</v>
      </c>
      <c r="L504" s="2">
        <f>ABS(G504-E504)</f>
        <v>7</v>
      </c>
      <c r="M504" s="50">
        <f>(L504/E504)</f>
        <v>9.7222222222222224E-2</v>
      </c>
      <c r="N504" s="2">
        <v>70</v>
      </c>
      <c r="O504" s="11">
        <f t="shared" si="14"/>
        <v>2</v>
      </c>
      <c r="P504" s="29">
        <f t="shared" si="15"/>
        <v>2.7777777777777776E-2</v>
      </c>
    </row>
    <row r="505" spans="1:16" x14ac:dyDescent="0.35">
      <c r="A505" s="2" t="s">
        <v>39</v>
      </c>
      <c r="B505" s="2" t="s">
        <v>10</v>
      </c>
      <c r="C505" s="2" t="s">
        <v>11</v>
      </c>
      <c r="D505" s="2" t="s">
        <v>35</v>
      </c>
      <c r="E505" s="2">
        <v>104</v>
      </c>
      <c r="F505" s="2">
        <v>137</v>
      </c>
      <c r="G505" s="2">
        <v>100</v>
      </c>
      <c r="H505" s="2">
        <v>0</v>
      </c>
      <c r="I505" s="2">
        <v>0</v>
      </c>
      <c r="J505" s="2">
        <f>ABS(F505-E505)</f>
        <v>33</v>
      </c>
      <c r="K505" s="29">
        <f>J505/E505</f>
        <v>0.31730769230769229</v>
      </c>
      <c r="L505" s="2">
        <f>ABS(G505-E505)</f>
        <v>4</v>
      </c>
      <c r="M505" s="50">
        <f>(L505/E505)</f>
        <v>3.8461538461538464E-2</v>
      </c>
      <c r="N505" s="2">
        <v>118</v>
      </c>
      <c r="O505" s="11">
        <f t="shared" si="14"/>
        <v>14</v>
      </c>
      <c r="P505" s="29">
        <f t="shared" si="15"/>
        <v>0.13461538461538461</v>
      </c>
    </row>
    <row r="506" spans="1:16" x14ac:dyDescent="0.35">
      <c r="A506" s="2" t="s">
        <v>39</v>
      </c>
      <c r="B506" s="2" t="s">
        <v>10</v>
      </c>
      <c r="C506" s="2" t="s">
        <v>36</v>
      </c>
      <c r="D506" s="2" t="s">
        <v>12</v>
      </c>
      <c r="E506" s="2">
        <v>168</v>
      </c>
      <c r="F506" s="2">
        <v>154</v>
      </c>
      <c r="G506" s="2">
        <v>173</v>
      </c>
      <c r="H506" s="2">
        <v>1</v>
      </c>
      <c r="I506" s="2">
        <v>0</v>
      </c>
      <c r="J506" s="2">
        <f>ABS(F506-E506)</f>
        <v>14</v>
      </c>
      <c r="K506" s="29">
        <f>J506/E506</f>
        <v>8.3333333333333329E-2</v>
      </c>
      <c r="L506" s="2">
        <f>ABS(G506-E506)</f>
        <v>5</v>
      </c>
      <c r="M506" s="50">
        <f>(L506/E506)</f>
        <v>2.976190476190476E-2</v>
      </c>
      <c r="N506" s="2">
        <v>154</v>
      </c>
      <c r="O506" s="11">
        <f t="shared" si="14"/>
        <v>14</v>
      </c>
      <c r="P506" s="29">
        <f t="shared" si="15"/>
        <v>8.3333333333333329E-2</v>
      </c>
    </row>
    <row r="507" spans="1:16" x14ac:dyDescent="0.35">
      <c r="A507" s="2" t="s">
        <v>39</v>
      </c>
      <c r="B507" s="2" t="s">
        <v>10</v>
      </c>
      <c r="C507" s="2" t="s">
        <v>36</v>
      </c>
      <c r="D507" s="2" t="s">
        <v>13</v>
      </c>
      <c r="E507" s="2">
        <v>164</v>
      </c>
      <c r="F507" s="2">
        <v>162</v>
      </c>
      <c r="G507" s="2">
        <v>168</v>
      </c>
      <c r="H507" s="2">
        <v>0</v>
      </c>
      <c r="I507" s="2">
        <v>0</v>
      </c>
      <c r="J507" s="2">
        <f>ABS(F507-E507)</f>
        <v>2</v>
      </c>
      <c r="K507" s="29">
        <f>J507/E507</f>
        <v>1.2195121951219513E-2</v>
      </c>
      <c r="L507" s="2">
        <f>ABS(G507-E507)</f>
        <v>4</v>
      </c>
      <c r="M507" s="50">
        <f>(L507/E507)</f>
        <v>2.4390243902439025E-2</v>
      </c>
      <c r="N507" s="2">
        <v>167</v>
      </c>
      <c r="O507" s="11">
        <f t="shared" si="14"/>
        <v>3</v>
      </c>
      <c r="P507" s="29">
        <f t="shared" si="15"/>
        <v>1.8292682926829267E-2</v>
      </c>
    </row>
    <row r="508" spans="1:16" x14ac:dyDescent="0.35">
      <c r="A508" s="2" t="s">
        <v>39</v>
      </c>
      <c r="B508" s="2" t="s">
        <v>10</v>
      </c>
      <c r="C508" s="2" t="s">
        <v>36</v>
      </c>
      <c r="D508" s="2" t="s">
        <v>14</v>
      </c>
      <c r="E508" s="2">
        <v>164</v>
      </c>
      <c r="F508" s="2">
        <v>160</v>
      </c>
      <c r="G508" s="2">
        <v>169</v>
      </c>
      <c r="H508" s="2">
        <v>1</v>
      </c>
      <c r="I508" s="2">
        <v>0</v>
      </c>
      <c r="J508" s="2">
        <f>ABS(F508-E508)</f>
        <v>4</v>
      </c>
      <c r="K508" s="29">
        <f>J508/E508</f>
        <v>2.4390243902439025E-2</v>
      </c>
      <c r="L508" s="2">
        <f>ABS(G508-E508)</f>
        <v>5</v>
      </c>
      <c r="M508" s="50">
        <f>(L508/E508)</f>
        <v>3.048780487804878E-2</v>
      </c>
      <c r="N508" s="2">
        <v>166</v>
      </c>
      <c r="O508" s="11">
        <f t="shared" si="14"/>
        <v>2</v>
      </c>
      <c r="P508" s="29">
        <f t="shared" si="15"/>
        <v>1.2195121951219513E-2</v>
      </c>
    </row>
    <row r="509" spans="1:16" x14ac:dyDescent="0.35">
      <c r="A509" s="2" t="s">
        <v>39</v>
      </c>
      <c r="B509" s="2" t="s">
        <v>10</v>
      </c>
      <c r="C509" s="2" t="s">
        <v>36</v>
      </c>
      <c r="D509" s="2" t="s">
        <v>15</v>
      </c>
      <c r="E509" s="2">
        <v>146</v>
      </c>
      <c r="F509" s="2">
        <v>161</v>
      </c>
      <c r="G509" s="2">
        <v>152</v>
      </c>
      <c r="H509" s="2">
        <v>1</v>
      </c>
      <c r="I509" s="2">
        <v>0</v>
      </c>
      <c r="J509" s="2">
        <f>ABS(F509-E509)</f>
        <v>15</v>
      </c>
      <c r="K509" s="29">
        <f>J509/E509</f>
        <v>0.10273972602739725</v>
      </c>
      <c r="L509" s="2">
        <f>ABS(G509-E509)</f>
        <v>6</v>
      </c>
      <c r="M509" s="50">
        <f>(L509/E509)</f>
        <v>4.1095890410958902E-2</v>
      </c>
      <c r="N509" s="2">
        <v>164</v>
      </c>
      <c r="O509" s="11">
        <f t="shared" si="14"/>
        <v>18</v>
      </c>
      <c r="P509" s="29">
        <f t="shared" si="15"/>
        <v>0.12328767123287671</v>
      </c>
    </row>
    <row r="510" spans="1:16" x14ac:dyDescent="0.35">
      <c r="A510" s="2" t="s">
        <v>39</v>
      </c>
      <c r="B510" s="2" t="s">
        <v>10</v>
      </c>
      <c r="C510" s="2" t="s">
        <v>36</v>
      </c>
      <c r="D510" s="2" t="s">
        <v>16</v>
      </c>
      <c r="E510" s="2">
        <v>161</v>
      </c>
      <c r="F510" s="2">
        <v>163</v>
      </c>
      <c r="G510" s="2">
        <v>142</v>
      </c>
      <c r="H510" s="2">
        <v>0</v>
      </c>
      <c r="I510" s="2">
        <v>0</v>
      </c>
      <c r="J510" s="2">
        <f>ABS(F510-E510)</f>
        <v>2</v>
      </c>
      <c r="K510" s="29">
        <f>J510/E510</f>
        <v>1.2422360248447204E-2</v>
      </c>
      <c r="L510" s="2">
        <f>ABS(G510-E510)</f>
        <v>19</v>
      </c>
      <c r="M510" s="50">
        <f>(L510/E510)</f>
        <v>0.11801242236024845</v>
      </c>
      <c r="N510" s="2">
        <v>157</v>
      </c>
      <c r="O510" s="11">
        <f t="shared" si="14"/>
        <v>4</v>
      </c>
      <c r="P510" s="29">
        <f t="shared" si="15"/>
        <v>2.4844720496894408E-2</v>
      </c>
    </row>
    <row r="511" spans="1:16" x14ac:dyDescent="0.35">
      <c r="A511" s="2" t="s">
        <v>39</v>
      </c>
      <c r="B511" s="2" t="s">
        <v>10</v>
      </c>
      <c r="C511" s="2" t="s">
        <v>36</v>
      </c>
      <c r="D511" s="2" t="s">
        <v>17</v>
      </c>
      <c r="E511" s="2">
        <v>164</v>
      </c>
      <c r="F511" s="2">
        <v>164</v>
      </c>
      <c r="G511" s="2">
        <v>144</v>
      </c>
      <c r="H511" s="2">
        <v>0</v>
      </c>
      <c r="I511" s="2">
        <v>0</v>
      </c>
      <c r="J511" s="2">
        <f>ABS(F511-E511)</f>
        <v>0</v>
      </c>
      <c r="K511" s="29">
        <f>J511/E511</f>
        <v>0</v>
      </c>
      <c r="L511" s="2">
        <f>ABS(G511-E511)</f>
        <v>20</v>
      </c>
      <c r="M511" s="50">
        <f>(L511/E511)</f>
        <v>0.12195121951219512</v>
      </c>
      <c r="N511" s="2">
        <v>158</v>
      </c>
      <c r="O511" s="11">
        <f t="shared" si="14"/>
        <v>6</v>
      </c>
      <c r="P511" s="29">
        <f t="shared" si="15"/>
        <v>3.6585365853658534E-2</v>
      </c>
    </row>
    <row r="512" spans="1:16" x14ac:dyDescent="0.35">
      <c r="A512" s="2" t="s">
        <v>39</v>
      </c>
      <c r="B512" s="2" t="s">
        <v>10</v>
      </c>
      <c r="C512" s="2" t="s">
        <v>36</v>
      </c>
      <c r="D512" s="2" t="s">
        <v>18</v>
      </c>
      <c r="E512" s="2">
        <v>99</v>
      </c>
      <c r="F512" s="2">
        <v>106</v>
      </c>
      <c r="G512" s="2">
        <v>105</v>
      </c>
      <c r="H512" s="2">
        <v>0</v>
      </c>
      <c r="I512" s="2">
        <v>0</v>
      </c>
      <c r="J512" s="2">
        <f>ABS(F512-E512)</f>
        <v>7</v>
      </c>
      <c r="K512" s="29">
        <f>J512/E512</f>
        <v>7.0707070707070704E-2</v>
      </c>
      <c r="L512" s="2">
        <f>ABS(G512-E512)</f>
        <v>6</v>
      </c>
      <c r="M512" s="50">
        <f>(L512/E512)</f>
        <v>6.0606060606060608E-2</v>
      </c>
      <c r="N512" s="2">
        <v>110</v>
      </c>
      <c r="O512" s="11">
        <f t="shared" si="14"/>
        <v>11</v>
      </c>
      <c r="P512" s="29">
        <f t="shared" si="15"/>
        <v>0.1111111111111111</v>
      </c>
    </row>
    <row r="513" spans="1:16" x14ac:dyDescent="0.35">
      <c r="A513" s="2" t="s">
        <v>39</v>
      </c>
      <c r="B513" s="2" t="s">
        <v>10</v>
      </c>
      <c r="C513" s="2" t="s">
        <v>36</v>
      </c>
      <c r="D513" s="2" t="s">
        <v>19</v>
      </c>
      <c r="E513" s="2">
        <v>107</v>
      </c>
      <c r="F513" s="2">
        <v>99</v>
      </c>
      <c r="G513" s="2">
        <v>112</v>
      </c>
      <c r="H513" s="2">
        <v>0</v>
      </c>
      <c r="I513" s="2">
        <v>0</v>
      </c>
      <c r="J513" s="2">
        <f>ABS(F513-E513)</f>
        <v>8</v>
      </c>
      <c r="K513" s="29">
        <f>J513/E513</f>
        <v>7.476635514018691E-2</v>
      </c>
      <c r="L513" s="2">
        <f>ABS(G513-E513)</f>
        <v>5</v>
      </c>
      <c r="M513" s="50">
        <f>(L513/E513)</f>
        <v>4.6728971962616821E-2</v>
      </c>
      <c r="N513" s="2">
        <v>108</v>
      </c>
      <c r="O513" s="11">
        <f t="shared" si="14"/>
        <v>1</v>
      </c>
      <c r="P513" s="29">
        <f t="shared" si="15"/>
        <v>9.3457943925233638E-3</v>
      </c>
    </row>
    <row r="514" spans="1:16" x14ac:dyDescent="0.35">
      <c r="A514" s="2" t="s">
        <v>39</v>
      </c>
      <c r="B514" s="2" t="s">
        <v>10</v>
      </c>
      <c r="C514" s="2" t="s">
        <v>36</v>
      </c>
      <c r="D514" s="2" t="s">
        <v>20</v>
      </c>
      <c r="E514" s="2">
        <v>125</v>
      </c>
      <c r="F514" s="2">
        <v>125</v>
      </c>
      <c r="G514" s="2">
        <v>122</v>
      </c>
      <c r="H514" s="2">
        <v>0</v>
      </c>
      <c r="I514" s="2">
        <v>0</v>
      </c>
      <c r="J514" s="2">
        <f>ABS(F514-E514)</f>
        <v>0</v>
      </c>
      <c r="K514" s="29">
        <f>J514/E514</f>
        <v>0</v>
      </c>
      <c r="L514" s="2">
        <f>ABS(G514-E514)</f>
        <v>3</v>
      </c>
      <c r="M514" s="50">
        <f>(L514/E514)</f>
        <v>2.4E-2</v>
      </c>
      <c r="N514" s="2">
        <v>128</v>
      </c>
      <c r="O514" s="11">
        <f t="shared" si="14"/>
        <v>3</v>
      </c>
      <c r="P514" s="29">
        <f t="shared" si="15"/>
        <v>2.4E-2</v>
      </c>
    </row>
    <row r="515" spans="1:16" x14ac:dyDescent="0.35">
      <c r="A515" s="2" t="s">
        <v>39</v>
      </c>
      <c r="B515" s="2" t="s">
        <v>10</v>
      </c>
      <c r="C515" s="2" t="s">
        <v>36</v>
      </c>
      <c r="D515" s="2" t="s">
        <v>21</v>
      </c>
      <c r="E515" s="2">
        <v>113</v>
      </c>
      <c r="F515" s="2">
        <v>100</v>
      </c>
      <c r="G515" s="2">
        <v>114</v>
      </c>
      <c r="H515" s="2">
        <v>0</v>
      </c>
      <c r="I515" s="2">
        <v>0</v>
      </c>
      <c r="J515" s="2">
        <f>ABS(F515-E515)</f>
        <v>13</v>
      </c>
      <c r="K515" s="29">
        <f>J515/E515</f>
        <v>0.11504424778761062</v>
      </c>
      <c r="L515" s="2">
        <f>ABS(G515-E515)</f>
        <v>1</v>
      </c>
      <c r="M515" s="50">
        <f>(L515/E515)</f>
        <v>8.8495575221238937E-3</v>
      </c>
      <c r="N515" s="2">
        <v>114</v>
      </c>
      <c r="O515" s="11">
        <f t="shared" ref="O515:O578" si="16">ABS(N515-E515)</f>
        <v>1</v>
      </c>
      <c r="P515" s="29">
        <f t="shared" ref="P515:P578" si="17">O515/E515</f>
        <v>8.8495575221238937E-3</v>
      </c>
    </row>
    <row r="516" spans="1:16" x14ac:dyDescent="0.35">
      <c r="A516" s="2" t="s">
        <v>39</v>
      </c>
      <c r="B516" s="2" t="s">
        <v>10</v>
      </c>
      <c r="C516" s="2" t="s">
        <v>36</v>
      </c>
      <c r="D516" s="2" t="s">
        <v>22</v>
      </c>
      <c r="E516" s="2">
        <v>157</v>
      </c>
      <c r="F516" s="2">
        <v>131</v>
      </c>
      <c r="G516" s="2">
        <v>181</v>
      </c>
      <c r="H516" s="2">
        <v>0</v>
      </c>
      <c r="I516" s="2">
        <v>0</v>
      </c>
      <c r="J516" s="2">
        <f>ABS(F516-E516)</f>
        <v>26</v>
      </c>
      <c r="K516" s="29">
        <f>J516/E516</f>
        <v>0.16560509554140126</v>
      </c>
      <c r="L516" s="2">
        <f>ABS(G516-E516)</f>
        <v>24</v>
      </c>
      <c r="M516" s="50">
        <f>(L516/E516)</f>
        <v>0.15286624203821655</v>
      </c>
      <c r="N516" s="2">
        <v>136</v>
      </c>
      <c r="O516" s="11">
        <f t="shared" si="16"/>
        <v>21</v>
      </c>
      <c r="P516" s="29">
        <f t="shared" si="17"/>
        <v>0.13375796178343949</v>
      </c>
    </row>
    <row r="517" spans="1:16" x14ac:dyDescent="0.35">
      <c r="A517" s="2" t="s">
        <v>39</v>
      </c>
      <c r="B517" s="2" t="s">
        <v>10</v>
      </c>
      <c r="C517" s="2" t="s">
        <v>36</v>
      </c>
      <c r="D517" s="2" t="s">
        <v>23</v>
      </c>
      <c r="E517" s="2">
        <v>145</v>
      </c>
      <c r="F517" s="2">
        <v>154</v>
      </c>
      <c r="G517" s="2">
        <v>159</v>
      </c>
      <c r="H517" s="2">
        <v>0</v>
      </c>
      <c r="I517" s="2">
        <v>0</v>
      </c>
      <c r="J517" s="2">
        <f>ABS(F517-E517)</f>
        <v>9</v>
      </c>
      <c r="K517" s="29">
        <f>J517/E517</f>
        <v>6.2068965517241378E-2</v>
      </c>
      <c r="L517" s="2">
        <f>ABS(G517-E517)</f>
        <v>14</v>
      </c>
      <c r="M517" s="50">
        <f>(L517/E517)</f>
        <v>9.6551724137931033E-2</v>
      </c>
      <c r="N517" s="2">
        <v>154</v>
      </c>
      <c r="O517" s="11">
        <f t="shared" si="16"/>
        <v>9</v>
      </c>
      <c r="P517" s="29">
        <f t="shared" si="17"/>
        <v>6.2068965517241378E-2</v>
      </c>
    </row>
    <row r="518" spans="1:16" x14ac:dyDescent="0.35">
      <c r="A518" s="2" t="s">
        <v>39</v>
      </c>
      <c r="B518" s="2" t="s">
        <v>10</v>
      </c>
      <c r="C518" s="2" t="s">
        <v>36</v>
      </c>
      <c r="D518" s="2" t="s">
        <v>24</v>
      </c>
      <c r="E518" s="2">
        <v>138</v>
      </c>
      <c r="F518" s="2">
        <v>119</v>
      </c>
      <c r="G518" s="2">
        <v>126</v>
      </c>
      <c r="H518" s="2">
        <v>0</v>
      </c>
      <c r="I518" s="2">
        <v>0</v>
      </c>
      <c r="J518" s="2">
        <f>ABS(F518-E518)</f>
        <v>19</v>
      </c>
      <c r="K518" s="29">
        <f>J518/E518</f>
        <v>0.13768115942028986</v>
      </c>
      <c r="L518" s="2">
        <f>ABS(G518-E518)</f>
        <v>12</v>
      </c>
      <c r="M518" s="50">
        <f>(L518/E518)</f>
        <v>8.6956521739130432E-2</v>
      </c>
      <c r="N518" s="2">
        <v>136</v>
      </c>
      <c r="O518" s="11">
        <f t="shared" si="16"/>
        <v>2</v>
      </c>
      <c r="P518" s="29">
        <f t="shared" si="17"/>
        <v>1.4492753623188406E-2</v>
      </c>
    </row>
    <row r="519" spans="1:16" x14ac:dyDescent="0.35">
      <c r="A519" s="2" t="s">
        <v>39</v>
      </c>
      <c r="B519" s="2" t="s">
        <v>10</v>
      </c>
      <c r="C519" s="2" t="s">
        <v>36</v>
      </c>
      <c r="D519" s="2" t="s">
        <v>25</v>
      </c>
      <c r="E519" s="2">
        <v>78</v>
      </c>
      <c r="F519" s="2">
        <v>79</v>
      </c>
      <c r="G519" s="2">
        <v>74</v>
      </c>
      <c r="H519" s="2">
        <v>0</v>
      </c>
      <c r="I519" s="2">
        <v>1</v>
      </c>
      <c r="J519" s="2">
        <f>ABS(F519-E519)</f>
        <v>1</v>
      </c>
      <c r="K519" s="29">
        <f>J519/E519</f>
        <v>1.282051282051282E-2</v>
      </c>
      <c r="L519" s="2">
        <f>ABS(G519-E519)</f>
        <v>4</v>
      </c>
      <c r="M519" s="50">
        <f>(L519/E519)</f>
        <v>5.128205128205128E-2</v>
      </c>
      <c r="N519" s="2">
        <v>79</v>
      </c>
      <c r="O519" s="11">
        <f t="shared" si="16"/>
        <v>1</v>
      </c>
      <c r="P519" s="29">
        <f t="shared" si="17"/>
        <v>1.282051282051282E-2</v>
      </c>
    </row>
    <row r="520" spans="1:16" x14ac:dyDescent="0.35">
      <c r="A520" s="2" t="s">
        <v>39</v>
      </c>
      <c r="B520" s="2" t="s">
        <v>10</v>
      </c>
      <c r="C520" s="2" t="s">
        <v>36</v>
      </c>
      <c r="D520" s="2" t="s">
        <v>26</v>
      </c>
      <c r="E520" s="2">
        <v>161</v>
      </c>
      <c r="F520" s="2">
        <v>171</v>
      </c>
      <c r="G520" s="2">
        <v>155</v>
      </c>
      <c r="H520" s="2">
        <v>0</v>
      </c>
      <c r="I520" s="2">
        <v>0</v>
      </c>
      <c r="J520" s="2">
        <f>ABS(F520-E520)</f>
        <v>10</v>
      </c>
      <c r="K520" s="29">
        <f>J520/E520</f>
        <v>6.2111801242236024E-2</v>
      </c>
      <c r="L520" s="2">
        <f>ABS(G520-E520)</f>
        <v>6</v>
      </c>
      <c r="M520" s="50">
        <f>(L520/E520)</f>
        <v>3.7267080745341616E-2</v>
      </c>
      <c r="N520" s="2">
        <v>159</v>
      </c>
      <c r="O520" s="11">
        <f t="shared" si="16"/>
        <v>2</v>
      </c>
      <c r="P520" s="29">
        <f t="shared" si="17"/>
        <v>1.2422360248447204E-2</v>
      </c>
    </row>
    <row r="521" spans="1:16" x14ac:dyDescent="0.35">
      <c r="A521" s="2" t="s">
        <v>39</v>
      </c>
      <c r="B521" s="2" t="s">
        <v>10</v>
      </c>
      <c r="C521" s="2" t="s">
        <v>36</v>
      </c>
      <c r="D521" s="2" t="s">
        <v>27</v>
      </c>
      <c r="E521" s="2">
        <v>159</v>
      </c>
      <c r="F521" s="2">
        <v>128</v>
      </c>
      <c r="G521" s="2">
        <v>150</v>
      </c>
      <c r="H521" s="2">
        <v>0</v>
      </c>
      <c r="I521" s="2">
        <v>0</v>
      </c>
      <c r="J521" s="2">
        <f>ABS(F521-E521)</f>
        <v>31</v>
      </c>
      <c r="K521" s="29">
        <f>J521/E521</f>
        <v>0.19496855345911951</v>
      </c>
      <c r="L521" s="2">
        <f>ABS(G521-E521)</f>
        <v>9</v>
      </c>
      <c r="M521" s="50">
        <f>(L521/E521)</f>
        <v>5.6603773584905662E-2</v>
      </c>
      <c r="N521" s="2">
        <v>142</v>
      </c>
      <c r="O521" s="11">
        <f t="shared" si="16"/>
        <v>17</v>
      </c>
      <c r="P521" s="29">
        <f t="shared" si="17"/>
        <v>0.1069182389937107</v>
      </c>
    </row>
    <row r="522" spans="1:16" x14ac:dyDescent="0.35">
      <c r="A522" s="2" t="s">
        <v>39</v>
      </c>
      <c r="B522" s="2" t="s">
        <v>10</v>
      </c>
      <c r="C522" s="2" t="s">
        <v>36</v>
      </c>
      <c r="D522" s="2" t="s">
        <v>28</v>
      </c>
      <c r="E522" s="2">
        <v>179</v>
      </c>
      <c r="F522" s="2">
        <v>154</v>
      </c>
      <c r="G522" s="2">
        <v>184</v>
      </c>
      <c r="H522" s="2">
        <v>0</v>
      </c>
      <c r="I522" s="2">
        <v>0</v>
      </c>
      <c r="J522" s="2">
        <f>ABS(F522-E522)</f>
        <v>25</v>
      </c>
      <c r="K522" s="29">
        <f>J522/E522</f>
        <v>0.13966480446927373</v>
      </c>
      <c r="L522" s="2">
        <f>ABS(G522-E522)</f>
        <v>5</v>
      </c>
      <c r="M522" s="50">
        <f>(L522/E522)</f>
        <v>2.7932960893854747E-2</v>
      </c>
      <c r="N522" s="2">
        <v>163</v>
      </c>
      <c r="O522" s="11">
        <f t="shared" si="16"/>
        <v>16</v>
      </c>
      <c r="P522" s="29">
        <f t="shared" si="17"/>
        <v>8.9385474860335198E-2</v>
      </c>
    </row>
    <row r="523" spans="1:16" x14ac:dyDescent="0.35">
      <c r="A523" s="2" t="s">
        <v>39</v>
      </c>
      <c r="B523" s="2" t="s">
        <v>10</v>
      </c>
      <c r="C523" s="2" t="s">
        <v>36</v>
      </c>
      <c r="D523" s="2" t="s">
        <v>29</v>
      </c>
      <c r="E523" s="2">
        <v>133</v>
      </c>
      <c r="F523" s="2">
        <v>137</v>
      </c>
      <c r="G523" s="2">
        <v>131</v>
      </c>
      <c r="H523" s="2">
        <v>0</v>
      </c>
      <c r="I523" s="2">
        <v>0</v>
      </c>
      <c r="J523" s="2">
        <f>ABS(F523-E523)</f>
        <v>4</v>
      </c>
      <c r="K523" s="29">
        <f>J523/E523</f>
        <v>3.007518796992481E-2</v>
      </c>
      <c r="L523" s="2">
        <f>ABS(G523-E523)</f>
        <v>2</v>
      </c>
      <c r="M523" s="50">
        <f>(L523/E523)</f>
        <v>1.5037593984962405E-2</v>
      </c>
      <c r="N523" s="2">
        <v>147</v>
      </c>
      <c r="O523" s="11">
        <f t="shared" si="16"/>
        <v>14</v>
      </c>
      <c r="P523" s="29">
        <f t="shared" si="17"/>
        <v>0.10526315789473684</v>
      </c>
    </row>
    <row r="524" spans="1:16" x14ac:dyDescent="0.35">
      <c r="A524" s="2" t="s">
        <v>39</v>
      </c>
      <c r="B524" s="2" t="s">
        <v>10</v>
      </c>
      <c r="C524" s="2" t="s">
        <v>36</v>
      </c>
      <c r="D524" s="2" t="s">
        <v>30</v>
      </c>
      <c r="E524" s="2">
        <v>139</v>
      </c>
      <c r="F524" s="2">
        <v>129</v>
      </c>
      <c r="G524" s="2">
        <v>135</v>
      </c>
      <c r="H524" s="2">
        <v>1</v>
      </c>
      <c r="I524" s="2">
        <v>0</v>
      </c>
      <c r="J524" s="2">
        <f>ABS(F524-E524)</f>
        <v>10</v>
      </c>
      <c r="K524" s="29">
        <f>J524/E524</f>
        <v>7.1942446043165464E-2</v>
      </c>
      <c r="L524" s="2">
        <f>ABS(G524-E524)</f>
        <v>4</v>
      </c>
      <c r="M524" s="50">
        <f>(L524/E524)</f>
        <v>2.8776978417266189E-2</v>
      </c>
      <c r="N524" s="2">
        <v>145</v>
      </c>
      <c r="O524" s="11">
        <f t="shared" si="16"/>
        <v>6</v>
      </c>
      <c r="P524" s="29">
        <f t="shared" si="17"/>
        <v>4.3165467625899283E-2</v>
      </c>
    </row>
    <row r="525" spans="1:16" x14ac:dyDescent="0.35">
      <c r="A525" s="2" t="s">
        <v>39</v>
      </c>
      <c r="B525" s="2" t="s">
        <v>10</v>
      </c>
      <c r="C525" s="2" t="s">
        <v>36</v>
      </c>
      <c r="D525" s="2" t="s">
        <v>31</v>
      </c>
      <c r="E525" s="2">
        <v>119</v>
      </c>
      <c r="F525" s="2">
        <v>96</v>
      </c>
      <c r="G525" s="2">
        <v>120</v>
      </c>
      <c r="H525" s="2">
        <v>1</v>
      </c>
      <c r="I525" s="2">
        <v>0</v>
      </c>
      <c r="J525" s="2">
        <f>ABS(F525-E525)</f>
        <v>23</v>
      </c>
      <c r="K525" s="29">
        <f>J525/E525</f>
        <v>0.19327731092436976</v>
      </c>
      <c r="L525" s="2">
        <f>ABS(G525-E525)</f>
        <v>1</v>
      </c>
      <c r="M525" s="50">
        <f>(L525/E525)</f>
        <v>8.4033613445378148E-3</v>
      </c>
      <c r="N525" s="2">
        <v>112</v>
      </c>
      <c r="O525" s="11">
        <f t="shared" si="16"/>
        <v>7</v>
      </c>
      <c r="P525" s="29">
        <f t="shared" si="17"/>
        <v>5.8823529411764705E-2</v>
      </c>
    </row>
    <row r="526" spans="1:16" x14ac:dyDescent="0.35">
      <c r="A526" s="2" t="s">
        <v>39</v>
      </c>
      <c r="B526" s="2" t="s">
        <v>10</v>
      </c>
      <c r="C526" s="2" t="s">
        <v>36</v>
      </c>
      <c r="D526" s="2" t="s">
        <v>32</v>
      </c>
      <c r="E526" s="2">
        <v>106</v>
      </c>
      <c r="F526" s="2">
        <v>108</v>
      </c>
      <c r="G526" s="2">
        <v>102</v>
      </c>
      <c r="H526" s="2">
        <v>0</v>
      </c>
      <c r="I526" s="2">
        <v>0</v>
      </c>
      <c r="J526" s="2">
        <f>ABS(F526-E526)</f>
        <v>2</v>
      </c>
      <c r="K526" s="29">
        <f>J526/E526</f>
        <v>1.8867924528301886E-2</v>
      </c>
      <c r="L526" s="2">
        <f>ABS(G526-E526)</f>
        <v>4</v>
      </c>
      <c r="M526" s="50">
        <f>(L526/E526)</f>
        <v>3.7735849056603772E-2</v>
      </c>
      <c r="N526" s="2">
        <v>115</v>
      </c>
      <c r="O526" s="11">
        <f t="shared" si="16"/>
        <v>9</v>
      </c>
      <c r="P526" s="29">
        <f t="shared" si="17"/>
        <v>8.4905660377358486E-2</v>
      </c>
    </row>
    <row r="527" spans="1:16" x14ac:dyDescent="0.35">
      <c r="A527" s="2" t="s">
        <v>39</v>
      </c>
      <c r="B527" s="2" t="s">
        <v>10</v>
      </c>
      <c r="C527" s="2" t="s">
        <v>36</v>
      </c>
      <c r="D527" s="2" t="s">
        <v>33</v>
      </c>
      <c r="E527" s="2">
        <v>55</v>
      </c>
      <c r="F527" s="2">
        <v>63</v>
      </c>
      <c r="G527" s="2">
        <v>50</v>
      </c>
      <c r="H527" s="2">
        <v>0</v>
      </c>
      <c r="I527" s="2">
        <v>1</v>
      </c>
      <c r="J527" s="2">
        <f>ABS(F527-E527)</f>
        <v>8</v>
      </c>
      <c r="K527" s="29">
        <f>J527/E527</f>
        <v>0.14545454545454545</v>
      </c>
      <c r="L527" s="2">
        <f>ABS(G527-E527)</f>
        <v>5</v>
      </c>
      <c r="M527" s="50">
        <f>(L527/E527)</f>
        <v>9.0909090909090912E-2</v>
      </c>
      <c r="N527" s="2">
        <v>61</v>
      </c>
      <c r="O527" s="11">
        <f t="shared" si="16"/>
        <v>6</v>
      </c>
      <c r="P527" s="29">
        <f t="shared" si="17"/>
        <v>0.10909090909090909</v>
      </c>
    </row>
    <row r="528" spans="1:16" x14ac:dyDescent="0.35">
      <c r="A528" s="2" t="s">
        <v>39</v>
      </c>
      <c r="B528" s="2" t="s">
        <v>10</v>
      </c>
      <c r="C528" s="2" t="s">
        <v>36</v>
      </c>
      <c r="D528" s="2" t="s">
        <v>34</v>
      </c>
      <c r="E528" s="2">
        <v>121</v>
      </c>
      <c r="F528" s="2">
        <v>101</v>
      </c>
      <c r="G528" s="2">
        <v>115</v>
      </c>
      <c r="H528" s="2">
        <v>1</v>
      </c>
      <c r="I528" s="2">
        <v>0</v>
      </c>
      <c r="J528" s="2">
        <f>ABS(F528-E528)</f>
        <v>20</v>
      </c>
      <c r="K528" s="29">
        <f>J528/E528</f>
        <v>0.16528925619834711</v>
      </c>
      <c r="L528" s="2">
        <f>ABS(G528-E528)</f>
        <v>6</v>
      </c>
      <c r="M528" s="50">
        <f>(L528/E528)</f>
        <v>4.9586776859504134E-2</v>
      </c>
      <c r="N528" s="2">
        <v>109</v>
      </c>
      <c r="O528" s="11">
        <f t="shared" si="16"/>
        <v>12</v>
      </c>
      <c r="P528" s="29">
        <f t="shared" si="17"/>
        <v>9.9173553719008267E-2</v>
      </c>
    </row>
    <row r="529" spans="1:16" x14ac:dyDescent="0.35">
      <c r="A529" s="2" t="s">
        <v>39</v>
      </c>
      <c r="B529" s="2" t="s">
        <v>10</v>
      </c>
      <c r="C529" s="2" t="s">
        <v>36</v>
      </c>
      <c r="D529" s="2" t="s">
        <v>35</v>
      </c>
      <c r="E529" s="2">
        <v>119</v>
      </c>
      <c r="F529" s="2">
        <v>105</v>
      </c>
      <c r="G529" s="2">
        <v>106</v>
      </c>
      <c r="H529" s="2">
        <v>0</v>
      </c>
      <c r="I529" s="2">
        <v>0</v>
      </c>
      <c r="J529" s="2">
        <f>ABS(F529-E529)</f>
        <v>14</v>
      </c>
      <c r="K529" s="29">
        <f>J529/E529</f>
        <v>0.11764705882352941</v>
      </c>
      <c r="L529" s="2">
        <f>ABS(G529-E529)</f>
        <v>13</v>
      </c>
      <c r="M529" s="50">
        <f>(L529/E529)</f>
        <v>0.1092436974789916</v>
      </c>
      <c r="N529" s="2">
        <v>114</v>
      </c>
      <c r="O529" s="11">
        <f t="shared" si="16"/>
        <v>5</v>
      </c>
      <c r="P529" s="29">
        <f t="shared" si="17"/>
        <v>4.2016806722689079E-2</v>
      </c>
    </row>
    <row r="530" spans="1:16" x14ac:dyDescent="0.35">
      <c r="A530" s="2" t="s">
        <v>39</v>
      </c>
      <c r="B530" s="2" t="s">
        <v>10</v>
      </c>
      <c r="C530" s="2" t="s">
        <v>37</v>
      </c>
      <c r="D530" s="2" t="s">
        <v>12</v>
      </c>
      <c r="E530" s="2">
        <v>122</v>
      </c>
      <c r="F530" s="2">
        <v>78</v>
      </c>
      <c r="G530" s="2">
        <v>109</v>
      </c>
      <c r="H530" s="2">
        <v>0</v>
      </c>
      <c r="I530" s="2">
        <v>0</v>
      </c>
      <c r="J530" s="2">
        <f>ABS(F530-E530)</f>
        <v>44</v>
      </c>
      <c r="K530" s="29">
        <f>J530/E530</f>
        <v>0.36065573770491804</v>
      </c>
      <c r="L530" s="2">
        <f>ABS(G530-E530)</f>
        <v>13</v>
      </c>
      <c r="M530" s="50">
        <f>(L530/E530)</f>
        <v>0.10655737704918032</v>
      </c>
      <c r="N530" s="2">
        <v>88</v>
      </c>
      <c r="O530" s="11">
        <f t="shared" si="16"/>
        <v>34</v>
      </c>
      <c r="P530" s="29">
        <f t="shared" si="17"/>
        <v>0.27868852459016391</v>
      </c>
    </row>
    <row r="531" spans="1:16" x14ac:dyDescent="0.35">
      <c r="A531" s="2" t="s">
        <v>39</v>
      </c>
      <c r="B531" s="2" t="s">
        <v>10</v>
      </c>
      <c r="C531" s="2" t="s">
        <v>37</v>
      </c>
      <c r="D531" s="2" t="s">
        <v>13</v>
      </c>
      <c r="E531" s="2">
        <v>100</v>
      </c>
      <c r="F531" s="2">
        <v>93</v>
      </c>
      <c r="G531" s="2">
        <v>98</v>
      </c>
      <c r="H531" s="2">
        <v>0</v>
      </c>
      <c r="I531" s="2">
        <v>0</v>
      </c>
      <c r="J531" s="2">
        <f>ABS(F531-E531)</f>
        <v>7</v>
      </c>
      <c r="K531" s="29">
        <f>J531/E531</f>
        <v>7.0000000000000007E-2</v>
      </c>
      <c r="L531" s="2">
        <f>ABS(G531-E531)</f>
        <v>2</v>
      </c>
      <c r="M531" s="50">
        <f>(L531/E531)</f>
        <v>0.02</v>
      </c>
      <c r="N531" s="2">
        <v>104</v>
      </c>
      <c r="O531" s="11">
        <f t="shared" si="16"/>
        <v>4</v>
      </c>
      <c r="P531" s="29">
        <f t="shared" si="17"/>
        <v>0.04</v>
      </c>
    </row>
    <row r="532" spans="1:16" x14ac:dyDescent="0.35">
      <c r="A532" s="2" t="s">
        <v>39</v>
      </c>
      <c r="B532" s="2" t="s">
        <v>10</v>
      </c>
      <c r="C532" s="2" t="s">
        <v>37</v>
      </c>
      <c r="D532" s="2" t="s">
        <v>14</v>
      </c>
      <c r="E532" s="2">
        <v>127</v>
      </c>
      <c r="F532" s="2">
        <v>98</v>
      </c>
      <c r="G532" s="2">
        <v>124</v>
      </c>
      <c r="H532" s="2">
        <v>1</v>
      </c>
      <c r="I532" s="2">
        <v>0</v>
      </c>
      <c r="J532" s="2">
        <f>ABS(F532-E532)</f>
        <v>29</v>
      </c>
      <c r="K532" s="29">
        <f>J532/E532</f>
        <v>0.2283464566929134</v>
      </c>
      <c r="L532" s="2">
        <f>ABS(G532-E532)</f>
        <v>3</v>
      </c>
      <c r="M532" s="50">
        <f>(L532/E532)</f>
        <v>2.3622047244094488E-2</v>
      </c>
      <c r="N532" s="2">
        <v>112</v>
      </c>
      <c r="O532" s="11">
        <f t="shared" si="16"/>
        <v>15</v>
      </c>
      <c r="P532" s="29">
        <f t="shared" si="17"/>
        <v>0.11811023622047244</v>
      </c>
    </row>
    <row r="533" spans="1:16" x14ac:dyDescent="0.35">
      <c r="A533" s="2" t="s">
        <v>39</v>
      </c>
      <c r="B533" s="2" t="s">
        <v>10</v>
      </c>
      <c r="C533" s="2" t="s">
        <v>37</v>
      </c>
      <c r="D533" s="2" t="s">
        <v>15</v>
      </c>
      <c r="E533" s="2">
        <v>114</v>
      </c>
      <c r="F533" s="2">
        <v>102</v>
      </c>
      <c r="G533" s="2">
        <v>114</v>
      </c>
      <c r="H533" s="2">
        <v>0</v>
      </c>
      <c r="I533" s="2">
        <v>0</v>
      </c>
      <c r="J533" s="2">
        <f>ABS(F533-E533)</f>
        <v>12</v>
      </c>
      <c r="K533" s="29">
        <f>J533/E533</f>
        <v>0.10526315789473684</v>
      </c>
      <c r="L533" s="2">
        <f>ABS(G533-E533)</f>
        <v>0</v>
      </c>
      <c r="M533" s="50">
        <f>(L533/E533)</f>
        <v>0</v>
      </c>
      <c r="N533" s="2">
        <v>114</v>
      </c>
      <c r="O533" s="11">
        <f t="shared" si="16"/>
        <v>0</v>
      </c>
      <c r="P533" s="29">
        <f t="shared" si="17"/>
        <v>0</v>
      </c>
    </row>
    <row r="534" spans="1:16" x14ac:dyDescent="0.35">
      <c r="A534" s="2" t="s">
        <v>39</v>
      </c>
      <c r="B534" s="2" t="s">
        <v>10</v>
      </c>
      <c r="C534" s="2" t="s">
        <v>37</v>
      </c>
      <c r="D534" s="2" t="s">
        <v>16</v>
      </c>
      <c r="E534" s="2">
        <v>108</v>
      </c>
      <c r="F534" s="2">
        <v>96</v>
      </c>
      <c r="G534" s="2">
        <v>110</v>
      </c>
      <c r="H534" s="2">
        <v>0</v>
      </c>
      <c r="I534" s="2">
        <v>0</v>
      </c>
      <c r="J534" s="2">
        <f>ABS(F534-E534)</f>
        <v>12</v>
      </c>
      <c r="K534" s="29">
        <f>J534/E534</f>
        <v>0.1111111111111111</v>
      </c>
      <c r="L534" s="2">
        <f>ABS(G534-E534)</f>
        <v>2</v>
      </c>
      <c r="M534" s="50">
        <f>(L534/E534)</f>
        <v>1.8518518518518517E-2</v>
      </c>
      <c r="N534" s="2">
        <v>105</v>
      </c>
      <c r="O534" s="11">
        <f t="shared" si="16"/>
        <v>3</v>
      </c>
      <c r="P534" s="29">
        <f t="shared" si="17"/>
        <v>2.7777777777777776E-2</v>
      </c>
    </row>
    <row r="535" spans="1:16" x14ac:dyDescent="0.35">
      <c r="A535" s="2" t="s">
        <v>39</v>
      </c>
      <c r="B535" s="2" t="s">
        <v>10</v>
      </c>
      <c r="C535" s="2" t="s">
        <v>37</v>
      </c>
      <c r="D535" s="2" t="s">
        <v>17</v>
      </c>
      <c r="E535" s="2">
        <v>87</v>
      </c>
      <c r="F535" s="2">
        <v>86</v>
      </c>
      <c r="G535" s="2">
        <v>82</v>
      </c>
      <c r="H535" s="2">
        <v>0</v>
      </c>
      <c r="I535" s="2">
        <v>0</v>
      </c>
      <c r="J535" s="2">
        <f>ABS(F535-E535)</f>
        <v>1</v>
      </c>
      <c r="K535" s="29">
        <f>J535/E535</f>
        <v>1.1494252873563218E-2</v>
      </c>
      <c r="L535" s="2">
        <f>ABS(G535-E535)</f>
        <v>5</v>
      </c>
      <c r="M535" s="50">
        <f>(L535/E535)</f>
        <v>5.7471264367816091E-2</v>
      </c>
      <c r="N535" s="2">
        <v>93</v>
      </c>
      <c r="O535" s="11">
        <f t="shared" si="16"/>
        <v>6</v>
      </c>
      <c r="P535" s="29">
        <f t="shared" si="17"/>
        <v>6.8965517241379309E-2</v>
      </c>
    </row>
    <row r="536" spans="1:16" x14ac:dyDescent="0.35">
      <c r="A536" s="2" t="s">
        <v>39</v>
      </c>
      <c r="B536" s="2" t="s">
        <v>10</v>
      </c>
      <c r="C536" s="2" t="s">
        <v>37</v>
      </c>
      <c r="D536" s="2" t="s">
        <v>18</v>
      </c>
      <c r="E536" s="2">
        <v>102</v>
      </c>
      <c r="F536" s="2">
        <v>82</v>
      </c>
      <c r="G536" s="2">
        <v>98</v>
      </c>
      <c r="H536" s="2">
        <v>1</v>
      </c>
      <c r="I536" s="2">
        <v>0</v>
      </c>
      <c r="J536" s="2">
        <f>ABS(F536-E536)</f>
        <v>20</v>
      </c>
      <c r="K536" s="29">
        <f>J536/E536</f>
        <v>0.19607843137254902</v>
      </c>
      <c r="L536" s="2">
        <f>ABS(G536-E536)</f>
        <v>4</v>
      </c>
      <c r="M536" s="50">
        <f>(L536/E536)</f>
        <v>3.9215686274509803E-2</v>
      </c>
      <c r="N536" s="2">
        <v>90</v>
      </c>
      <c r="O536" s="11">
        <f t="shared" si="16"/>
        <v>12</v>
      </c>
      <c r="P536" s="29">
        <f t="shared" si="17"/>
        <v>0.11764705882352941</v>
      </c>
    </row>
    <row r="537" spans="1:16" x14ac:dyDescent="0.35">
      <c r="A537" s="2" t="s">
        <v>39</v>
      </c>
      <c r="B537" s="2" t="s">
        <v>10</v>
      </c>
      <c r="C537" s="2" t="s">
        <v>37</v>
      </c>
      <c r="D537" s="2" t="s">
        <v>19</v>
      </c>
      <c r="E537" s="2">
        <v>73</v>
      </c>
      <c r="F537" s="2">
        <v>54</v>
      </c>
      <c r="G537" s="2">
        <v>79</v>
      </c>
      <c r="H537" s="2">
        <v>1</v>
      </c>
      <c r="I537" s="2">
        <v>0</v>
      </c>
      <c r="J537" s="2">
        <f>ABS(F537-E537)</f>
        <v>19</v>
      </c>
      <c r="K537" s="29">
        <f>J537/E537</f>
        <v>0.26027397260273971</v>
      </c>
      <c r="L537" s="2">
        <f>ABS(G537-E537)</f>
        <v>6</v>
      </c>
      <c r="M537" s="50">
        <f>(L537/E537)</f>
        <v>8.2191780821917804E-2</v>
      </c>
      <c r="N537" s="2">
        <v>69</v>
      </c>
      <c r="O537" s="11">
        <f t="shared" si="16"/>
        <v>4</v>
      </c>
      <c r="P537" s="29">
        <f t="shared" si="17"/>
        <v>5.4794520547945202E-2</v>
      </c>
    </row>
    <row r="538" spans="1:16" x14ac:dyDescent="0.35">
      <c r="A538" s="2" t="s">
        <v>39</v>
      </c>
      <c r="B538" s="2" t="s">
        <v>10</v>
      </c>
      <c r="C538" s="2" t="s">
        <v>37</v>
      </c>
      <c r="D538" s="2" t="s">
        <v>20</v>
      </c>
      <c r="E538" s="2">
        <v>68</v>
      </c>
      <c r="F538" s="2">
        <v>56</v>
      </c>
      <c r="G538" s="2">
        <v>72</v>
      </c>
      <c r="H538" s="2">
        <v>1</v>
      </c>
      <c r="I538" s="2">
        <v>0</v>
      </c>
      <c r="J538" s="2">
        <f>ABS(F538-E538)</f>
        <v>12</v>
      </c>
      <c r="K538" s="29">
        <f>J538/E538</f>
        <v>0.17647058823529413</v>
      </c>
      <c r="L538" s="2">
        <f>ABS(G538-E538)</f>
        <v>4</v>
      </c>
      <c r="M538" s="50">
        <f>(L538/E538)</f>
        <v>5.8823529411764705E-2</v>
      </c>
      <c r="N538" s="2">
        <v>66</v>
      </c>
      <c r="O538" s="11">
        <f t="shared" si="16"/>
        <v>2</v>
      </c>
      <c r="P538" s="29">
        <f t="shared" si="17"/>
        <v>2.9411764705882353E-2</v>
      </c>
    </row>
    <row r="539" spans="1:16" x14ac:dyDescent="0.35">
      <c r="A539" s="2" t="s">
        <v>39</v>
      </c>
      <c r="B539" s="2" t="s">
        <v>10</v>
      </c>
      <c r="C539" s="2" t="s">
        <v>37</v>
      </c>
      <c r="D539" s="2" t="s">
        <v>21</v>
      </c>
      <c r="E539" s="2">
        <v>66</v>
      </c>
      <c r="F539" s="2">
        <v>68</v>
      </c>
      <c r="G539" s="2">
        <v>58</v>
      </c>
      <c r="H539" s="2">
        <v>0</v>
      </c>
      <c r="I539" s="2">
        <v>0</v>
      </c>
      <c r="J539" s="2">
        <f>ABS(F539-E539)</f>
        <v>2</v>
      </c>
      <c r="K539" s="29">
        <f>J539/E539</f>
        <v>3.0303030303030304E-2</v>
      </c>
      <c r="L539" s="2">
        <f>ABS(G539-E539)</f>
        <v>8</v>
      </c>
      <c r="M539" s="50">
        <f>(L539/E539)</f>
        <v>0.12121212121212122</v>
      </c>
      <c r="N539" s="2">
        <v>69</v>
      </c>
      <c r="O539" s="11">
        <f t="shared" si="16"/>
        <v>3</v>
      </c>
      <c r="P539" s="29">
        <f t="shared" si="17"/>
        <v>4.5454545454545456E-2</v>
      </c>
    </row>
    <row r="540" spans="1:16" x14ac:dyDescent="0.35">
      <c r="A540" s="2" t="s">
        <v>39</v>
      </c>
      <c r="B540" s="2" t="s">
        <v>10</v>
      </c>
      <c r="C540" s="2" t="s">
        <v>37</v>
      </c>
      <c r="D540" s="2" t="s">
        <v>22</v>
      </c>
      <c r="E540" s="2">
        <v>96</v>
      </c>
      <c r="F540" s="2">
        <v>87</v>
      </c>
      <c r="G540" s="2">
        <v>94</v>
      </c>
      <c r="H540" s="2">
        <v>0</v>
      </c>
      <c r="I540" s="2">
        <v>0</v>
      </c>
      <c r="J540" s="2">
        <f>ABS(F540-E540)</f>
        <v>9</v>
      </c>
      <c r="K540" s="29">
        <f>J540/E540</f>
        <v>9.375E-2</v>
      </c>
      <c r="L540" s="2">
        <f>ABS(G540-E540)</f>
        <v>2</v>
      </c>
      <c r="M540" s="50">
        <f>(L540/E540)</f>
        <v>2.0833333333333332E-2</v>
      </c>
      <c r="N540" s="2">
        <v>90</v>
      </c>
      <c r="O540" s="11">
        <f t="shared" si="16"/>
        <v>6</v>
      </c>
      <c r="P540" s="29">
        <f t="shared" si="17"/>
        <v>6.25E-2</v>
      </c>
    </row>
    <row r="541" spans="1:16" x14ac:dyDescent="0.35">
      <c r="A541" s="2" t="s">
        <v>39</v>
      </c>
      <c r="B541" s="2" t="s">
        <v>10</v>
      </c>
      <c r="C541" s="2" t="s">
        <v>37</v>
      </c>
      <c r="D541" s="2" t="s">
        <v>23</v>
      </c>
      <c r="E541" s="2">
        <v>111</v>
      </c>
      <c r="F541" s="2">
        <v>125</v>
      </c>
      <c r="G541" s="2">
        <v>114</v>
      </c>
      <c r="H541" s="2">
        <v>0</v>
      </c>
      <c r="I541" s="2">
        <v>0</v>
      </c>
      <c r="J541" s="2">
        <f>ABS(F541-E541)</f>
        <v>14</v>
      </c>
      <c r="K541" s="29">
        <f>J541/E541</f>
        <v>0.12612612612612611</v>
      </c>
      <c r="L541" s="2">
        <f>ABS(G541-E541)</f>
        <v>3</v>
      </c>
      <c r="M541" s="50">
        <f>(L541/E541)</f>
        <v>2.7027027027027029E-2</v>
      </c>
      <c r="N541" s="2">
        <v>113</v>
      </c>
      <c r="O541" s="11">
        <f t="shared" si="16"/>
        <v>2</v>
      </c>
      <c r="P541" s="29">
        <f t="shared" si="17"/>
        <v>1.8018018018018018E-2</v>
      </c>
    </row>
    <row r="542" spans="1:16" x14ac:dyDescent="0.35">
      <c r="A542" s="2" t="s">
        <v>39</v>
      </c>
      <c r="B542" s="2" t="s">
        <v>10</v>
      </c>
      <c r="C542" s="2" t="s">
        <v>37</v>
      </c>
      <c r="D542" s="2" t="s">
        <v>24</v>
      </c>
      <c r="E542" s="2">
        <v>93</v>
      </c>
      <c r="F542" s="2">
        <v>85</v>
      </c>
      <c r="G542" s="2">
        <v>85</v>
      </c>
      <c r="H542" s="2">
        <v>0</v>
      </c>
      <c r="I542" s="2">
        <v>0</v>
      </c>
      <c r="J542" s="2">
        <f>ABS(F542-E542)</f>
        <v>8</v>
      </c>
      <c r="K542" s="29">
        <f>J542/E542</f>
        <v>8.6021505376344093E-2</v>
      </c>
      <c r="L542" s="2">
        <f>ABS(G542-E542)</f>
        <v>8</v>
      </c>
      <c r="M542" s="50">
        <f>(L542/E542)</f>
        <v>8.6021505376344093E-2</v>
      </c>
      <c r="N542" s="2">
        <v>93</v>
      </c>
      <c r="O542" s="11">
        <f t="shared" si="16"/>
        <v>0</v>
      </c>
      <c r="P542" s="29">
        <f t="shared" si="17"/>
        <v>0</v>
      </c>
    </row>
    <row r="543" spans="1:16" x14ac:dyDescent="0.35">
      <c r="A543" s="2" t="s">
        <v>39</v>
      </c>
      <c r="B543" s="2" t="s">
        <v>10</v>
      </c>
      <c r="C543" s="2" t="s">
        <v>37</v>
      </c>
      <c r="D543" s="2" t="s">
        <v>25</v>
      </c>
      <c r="E543" s="2">
        <v>121</v>
      </c>
      <c r="F543" s="2">
        <v>104</v>
      </c>
      <c r="G543" s="2">
        <v>124</v>
      </c>
      <c r="H543" s="2">
        <v>0</v>
      </c>
      <c r="I543" s="2">
        <v>0</v>
      </c>
      <c r="J543" s="2">
        <f>ABS(F543-E543)</f>
        <v>17</v>
      </c>
      <c r="K543" s="29">
        <f>J543/E543</f>
        <v>0.14049586776859505</v>
      </c>
      <c r="L543" s="2">
        <f>ABS(G543-E543)</f>
        <v>3</v>
      </c>
      <c r="M543" s="50">
        <f>(L543/E543)</f>
        <v>2.4793388429752067E-2</v>
      </c>
      <c r="N543" s="2">
        <v>107</v>
      </c>
      <c r="O543" s="11">
        <f t="shared" si="16"/>
        <v>14</v>
      </c>
      <c r="P543" s="29">
        <f t="shared" si="17"/>
        <v>0.11570247933884298</v>
      </c>
    </row>
    <row r="544" spans="1:16" x14ac:dyDescent="0.35">
      <c r="A544" s="2" t="s">
        <v>39</v>
      </c>
      <c r="B544" s="2" t="s">
        <v>10</v>
      </c>
      <c r="C544" s="2" t="s">
        <v>37</v>
      </c>
      <c r="D544" s="2" t="s">
        <v>26</v>
      </c>
      <c r="E544" s="2">
        <v>136</v>
      </c>
      <c r="F544" s="2">
        <v>145</v>
      </c>
      <c r="G544" s="2">
        <v>129</v>
      </c>
      <c r="H544" s="2">
        <v>0</v>
      </c>
      <c r="I544" s="2">
        <v>0</v>
      </c>
      <c r="J544" s="2">
        <f>ABS(F544-E544)</f>
        <v>9</v>
      </c>
      <c r="K544" s="29">
        <f>J544/E544</f>
        <v>6.6176470588235295E-2</v>
      </c>
      <c r="L544" s="2">
        <f>ABS(G544-E544)</f>
        <v>7</v>
      </c>
      <c r="M544" s="50">
        <f>(L544/E544)</f>
        <v>5.1470588235294115E-2</v>
      </c>
      <c r="N544" s="2">
        <v>133</v>
      </c>
      <c r="O544" s="11">
        <f t="shared" si="16"/>
        <v>3</v>
      </c>
      <c r="P544" s="29">
        <f t="shared" si="17"/>
        <v>2.2058823529411766E-2</v>
      </c>
    </row>
    <row r="545" spans="1:16" x14ac:dyDescent="0.35">
      <c r="A545" s="2" t="s">
        <v>39</v>
      </c>
      <c r="B545" s="2" t="s">
        <v>10</v>
      </c>
      <c r="C545" s="2" t="s">
        <v>37</v>
      </c>
      <c r="D545" s="2" t="s">
        <v>27</v>
      </c>
      <c r="E545" s="2">
        <v>120</v>
      </c>
      <c r="F545" s="2">
        <v>113</v>
      </c>
      <c r="G545" s="2">
        <v>105</v>
      </c>
      <c r="H545" s="2">
        <v>1</v>
      </c>
      <c r="I545" s="2">
        <v>0</v>
      </c>
      <c r="J545" s="2">
        <f>ABS(F545-E545)</f>
        <v>7</v>
      </c>
      <c r="K545" s="29">
        <f>J545/E545</f>
        <v>5.8333333333333334E-2</v>
      </c>
      <c r="L545" s="2">
        <f>ABS(G545-E545)</f>
        <v>15</v>
      </c>
      <c r="M545" s="50">
        <f>(L545/E545)</f>
        <v>0.125</v>
      </c>
      <c r="N545" s="2">
        <v>123</v>
      </c>
      <c r="O545" s="11">
        <f t="shared" si="16"/>
        <v>3</v>
      </c>
      <c r="P545" s="29">
        <f t="shared" si="17"/>
        <v>2.5000000000000001E-2</v>
      </c>
    </row>
    <row r="546" spans="1:16" x14ac:dyDescent="0.35">
      <c r="A546" s="2" t="s">
        <v>39</v>
      </c>
      <c r="B546" s="2" t="s">
        <v>10</v>
      </c>
      <c r="C546" s="2" t="s">
        <v>37</v>
      </c>
      <c r="D546" s="2" t="s">
        <v>28</v>
      </c>
      <c r="E546" s="2">
        <v>104</v>
      </c>
      <c r="F546" s="2">
        <v>96</v>
      </c>
      <c r="G546" s="2">
        <v>96</v>
      </c>
      <c r="H546" s="2">
        <v>0</v>
      </c>
      <c r="I546" s="2">
        <v>0</v>
      </c>
      <c r="J546" s="2">
        <f>ABS(F546-E546)</f>
        <v>8</v>
      </c>
      <c r="K546" s="29">
        <f>J546/E546</f>
        <v>7.6923076923076927E-2</v>
      </c>
      <c r="L546" s="2">
        <f>ABS(G546-E546)</f>
        <v>8</v>
      </c>
      <c r="M546" s="50">
        <f>(L546/E546)</f>
        <v>7.6923076923076927E-2</v>
      </c>
      <c r="N546" s="2">
        <v>103</v>
      </c>
      <c r="O546" s="11">
        <f t="shared" si="16"/>
        <v>1</v>
      </c>
      <c r="P546" s="29">
        <f t="shared" si="17"/>
        <v>9.6153846153846159E-3</v>
      </c>
    </row>
    <row r="547" spans="1:16" x14ac:dyDescent="0.35">
      <c r="A547" s="2" t="s">
        <v>39</v>
      </c>
      <c r="B547" s="2" t="s">
        <v>10</v>
      </c>
      <c r="C547" s="2" t="s">
        <v>37</v>
      </c>
      <c r="D547" s="2" t="s">
        <v>29</v>
      </c>
      <c r="E547" s="2">
        <v>103</v>
      </c>
      <c r="F547" s="2">
        <v>107</v>
      </c>
      <c r="G547" s="2">
        <v>98</v>
      </c>
      <c r="H547" s="2">
        <v>0</v>
      </c>
      <c r="I547" s="2">
        <v>0</v>
      </c>
      <c r="J547" s="2">
        <f>ABS(F547-E547)</f>
        <v>4</v>
      </c>
      <c r="K547" s="29">
        <f>J547/E547</f>
        <v>3.8834951456310676E-2</v>
      </c>
      <c r="L547" s="2">
        <f>ABS(G547-E547)</f>
        <v>5</v>
      </c>
      <c r="M547" s="50">
        <f>(L547/E547)</f>
        <v>4.8543689320388349E-2</v>
      </c>
      <c r="N547" s="2">
        <v>105</v>
      </c>
      <c r="O547" s="11">
        <f t="shared" si="16"/>
        <v>2</v>
      </c>
      <c r="P547" s="29">
        <f t="shared" si="17"/>
        <v>1.9417475728155338E-2</v>
      </c>
    </row>
    <row r="548" spans="1:16" x14ac:dyDescent="0.35">
      <c r="A548" s="2" t="s">
        <v>39</v>
      </c>
      <c r="B548" s="2" t="s">
        <v>10</v>
      </c>
      <c r="C548" s="2" t="s">
        <v>37</v>
      </c>
      <c r="D548" s="2" t="s">
        <v>30</v>
      </c>
      <c r="E548" s="2">
        <v>106</v>
      </c>
      <c r="F548" s="2">
        <v>93</v>
      </c>
      <c r="G548" s="2">
        <v>106</v>
      </c>
      <c r="H548" s="2">
        <v>0</v>
      </c>
      <c r="I548" s="2">
        <v>0</v>
      </c>
      <c r="J548" s="2">
        <f>ABS(F548-E548)</f>
        <v>13</v>
      </c>
      <c r="K548" s="29">
        <f>J548/E548</f>
        <v>0.12264150943396226</v>
      </c>
      <c r="L548" s="2">
        <f>ABS(G548-E548)</f>
        <v>0</v>
      </c>
      <c r="M548" s="50">
        <f>(L548/E548)</f>
        <v>0</v>
      </c>
      <c r="N548" s="2">
        <v>98</v>
      </c>
      <c r="O548" s="11">
        <f t="shared" si="16"/>
        <v>8</v>
      </c>
      <c r="P548" s="29">
        <f t="shared" si="17"/>
        <v>7.5471698113207544E-2</v>
      </c>
    </row>
    <row r="549" spans="1:16" x14ac:dyDescent="0.35">
      <c r="A549" s="2" t="s">
        <v>39</v>
      </c>
      <c r="B549" s="2" t="s">
        <v>10</v>
      </c>
      <c r="C549" s="2" t="s">
        <v>37</v>
      </c>
      <c r="D549" s="2" t="s">
        <v>31</v>
      </c>
      <c r="E549" s="2">
        <v>82</v>
      </c>
      <c r="F549" s="2">
        <v>79</v>
      </c>
      <c r="G549" s="2">
        <v>75</v>
      </c>
      <c r="H549" s="2">
        <v>0</v>
      </c>
      <c r="I549" s="2">
        <v>0</v>
      </c>
      <c r="J549" s="2">
        <f>ABS(F549-E549)</f>
        <v>3</v>
      </c>
      <c r="K549" s="29">
        <f>J549/E549</f>
        <v>3.6585365853658534E-2</v>
      </c>
      <c r="L549" s="2">
        <f>ABS(G549-E549)</f>
        <v>7</v>
      </c>
      <c r="M549" s="50">
        <f>(L549/E549)</f>
        <v>8.5365853658536592E-2</v>
      </c>
      <c r="N549" s="2">
        <v>86</v>
      </c>
      <c r="O549" s="11">
        <f t="shared" si="16"/>
        <v>4</v>
      </c>
      <c r="P549" s="29">
        <f t="shared" si="17"/>
        <v>4.878048780487805E-2</v>
      </c>
    </row>
    <row r="550" spans="1:16" x14ac:dyDescent="0.35">
      <c r="A550" s="2" t="s">
        <v>39</v>
      </c>
      <c r="B550" s="2" t="s">
        <v>10</v>
      </c>
      <c r="C550" s="2" t="s">
        <v>37</v>
      </c>
      <c r="D550" s="2" t="s">
        <v>32</v>
      </c>
      <c r="E550" s="2">
        <v>65</v>
      </c>
      <c r="F550" s="2">
        <v>65</v>
      </c>
      <c r="G550" s="2">
        <v>63</v>
      </c>
      <c r="H550" s="2">
        <v>0</v>
      </c>
      <c r="I550" s="2">
        <v>0</v>
      </c>
      <c r="J550" s="2">
        <f>ABS(F550-E550)</f>
        <v>0</v>
      </c>
      <c r="K550" s="29">
        <f>J550/E550</f>
        <v>0</v>
      </c>
      <c r="L550" s="2">
        <f>ABS(G550-E550)</f>
        <v>2</v>
      </c>
      <c r="M550" s="50">
        <f>(L550/E550)</f>
        <v>3.0769230769230771E-2</v>
      </c>
      <c r="N550" s="2">
        <v>70</v>
      </c>
      <c r="O550" s="11">
        <f t="shared" si="16"/>
        <v>5</v>
      </c>
      <c r="P550" s="29">
        <f t="shared" si="17"/>
        <v>7.6923076923076927E-2</v>
      </c>
    </row>
    <row r="551" spans="1:16" x14ac:dyDescent="0.35">
      <c r="A551" s="2" t="s">
        <v>39</v>
      </c>
      <c r="B551" s="2" t="s">
        <v>10</v>
      </c>
      <c r="C551" s="2" t="s">
        <v>37</v>
      </c>
      <c r="D551" s="2" t="s">
        <v>33</v>
      </c>
      <c r="E551" s="2">
        <v>82</v>
      </c>
      <c r="F551" s="2">
        <v>90</v>
      </c>
      <c r="G551" s="2">
        <v>81</v>
      </c>
      <c r="H551" s="2">
        <v>0</v>
      </c>
      <c r="I551" s="2">
        <v>0</v>
      </c>
      <c r="J551" s="2">
        <f>ABS(F551-E551)</f>
        <v>8</v>
      </c>
      <c r="K551" s="29">
        <f>J551/E551</f>
        <v>9.7560975609756101E-2</v>
      </c>
      <c r="L551" s="2">
        <f>ABS(G551-E551)</f>
        <v>1</v>
      </c>
      <c r="M551" s="50">
        <f>(L551/E551)</f>
        <v>1.2195121951219513E-2</v>
      </c>
      <c r="N551" s="2">
        <v>85</v>
      </c>
      <c r="O551" s="11">
        <f t="shared" si="16"/>
        <v>3</v>
      </c>
      <c r="P551" s="29">
        <f t="shared" si="17"/>
        <v>3.6585365853658534E-2</v>
      </c>
    </row>
    <row r="552" spans="1:16" x14ac:dyDescent="0.35">
      <c r="A552" s="2" t="s">
        <v>39</v>
      </c>
      <c r="B552" s="2" t="s">
        <v>10</v>
      </c>
      <c r="C552" s="2" t="s">
        <v>37</v>
      </c>
      <c r="D552" s="2" t="s">
        <v>34</v>
      </c>
      <c r="E552" s="2">
        <v>92</v>
      </c>
      <c r="F552" s="2">
        <v>88</v>
      </c>
      <c r="G552" s="2">
        <v>86</v>
      </c>
      <c r="H552" s="2">
        <v>0</v>
      </c>
      <c r="I552" s="2">
        <v>0</v>
      </c>
      <c r="J552" s="2">
        <f>ABS(F552-E552)</f>
        <v>4</v>
      </c>
      <c r="K552" s="29">
        <f>J552/E552</f>
        <v>4.3478260869565216E-2</v>
      </c>
      <c r="L552" s="2">
        <f>ABS(G552-E552)</f>
        <v>6</v>
      </c>
      <c r="M552" s="50">
        <f>(L552/E552)</f>
        <v>6.5217391304347824E-2</v>
      </c>
      <c r="N552" s="2">
        <v>89</v>
      </c>
      <c r="O552" s="11">
        <f t="shared" si="16"/>
        <v>3</v>
      </c>
      <c r="P552" s="29">
        <f t="shared" si="17"/>
        <v>3.2608695652173912E-2</v>
      </c>
    </row>
    <row r="553" spans="1:16" x14ac:dyDescent="0.35">
      <c r="A553" s="2" t="s">
        <v>39</v>
      </c>
      <c r="B553" s="2" t="s">
        <v>10</v>
      </c>
      <c r="C553" s="2" t="s">
        <v>37</v>
      </c>
      <c r="D553" s="2" t="s">
        <v>35</v>
      </c>
      <c r="E553" s="2">
        <v>107</v>
      </c>
      <c r="F553" s="2">
        <v>83</v>
      </c>
      <c r="G553" s="2">
        <v>105</v>
      </c>
      <c r="H553" s="2">
        <v>0</v>
      </c>
      <c r="I553" s="2">
        <v>0</v>
      </c>
      <c r="J553" s="2">
        <f>ABS(F553-E553)</f>
        <v>24</v>
      </c>
      <c r="K553" s="29">
        <f>J553/E553</f>
        <v>0.22429906542056074</v>
      </c>
      <c r="L553" s="2">
        <f>ABS(G553-E553)</f>
        <v>2</v>
      </c>
      <c r="M553" s="50">
        <f>(L553/E553)</f>
        <v>1.8691588785046728E-2</v>
      </c>
      <c r="N553" s="2">
        <v>94</v>
      </c>
      <c r="O553" s="11">
        <f t="shared" si="16"/>
        <v>13</v>
      </c>
      <c r="P553" s="29">
        <f t="shared" si="17"/>
        <v>0.12149532710280374</v>
      </c>
    </row>
    <row r="554" spans="1:16" x14ac:dyDescent="0.35">
      <c r="A554" s="2" t="s">
        <v>39</v>
      </c>
      <c r="B554" s="2" t="s">
        <v>10</v>
      </c>
      <c r="C554" s="2" t="s">
        <v>38</v>
      </c>
      <c r="D554" s="2" t="s">
        <v>12</v>
      </c>
      <c r="E554" s="2">
        <v>131</v>
      </c>
      <c r="F554" s="2">
        <v>167</v>
      </c>
      <c r="G554" s="2">
        <v>131</v>
      </c>
      <c r="H554" s="2">
        <v>1</v>
      </c>
      <c r="I554" s="2">
        <v>0</v>
      </c>
      <c r="J554" s="2">
        <f>ABS(F554-E554)</f>
        <v>36</v>
      </c>
      <c r="K554" s="29">
        <f>J554/E554</f>
        <v>0.27480916030534353</v>
      </c>
      <c r="L554" s="2">
        <f>ABS(G554-E554)</f>
        <v>0</v>
      </c>
      <c r="M554" s="50">
        <f>(L554/E554)</f>
        <v>0</v>
      </c>
      <c r="N554" s="2">
        <v>143</v>
      </c>
      <c r="O554" s="11">
        <f t="shared" si="16"/>
        <v>12</v>
      </c>
      <c r="P554" s="29">
        <f t="shared" si="17"/>
        <v>9.1603053435114504E-2</v>
      </c>
    </row>
    <row r="555" spans="1:16" x14ac:dyDescent="0.35">
      <c r="A555" s="2" t="s">
        <v>39</v>
      </c>
      <c r="B555" s="2" t="s">
        <v>10</v>
      </c>
      <c r="C555" s="2" t="s">
        <v>38</v>
      </c>
      <c r="D555" s="2" t="s">
        <v>13</v>
      </c>
      <c r="E555" s="2">
        <v>130</v>
      </c>
      <c r="F555" s="2">
        <v>150</v>
      </c>
      <c r="G555" s="2">
        <v>130</v>
      </c>
      <c r="H555" s="2">
        <v>1</v>
      </c>
      <c r="I555" s="2">
        <v>0</v>
      </c>
      <c r="J555" s="2">
        <f>ABS(F555-E555)</f>
        <v>20</v>
      </c>
      <c r="K555" s="29">
        <f>J555/E555</f>
        <v>0.15384615384615385</v>
      </c>
      <c r="L555" s="2">
        <f>ABS(G555-E555)</f>
        <v>0</v>
      </c>
      <c r="M555" s="50">
        <f>(L555/E555)</f>
        <v>0</v>
      </c>
      <c r="N555" s="2">
        <v>133</v>
      </c>
      <c r="O555" s="11">
        <f t="shared" si="16"/>
        <v>3</v>
      </c>
      <c r="P555" s="29">
        <f t="shared" si="17"/>
        <v>2.3076923076923078E-2</v>
      </c>
    </row>
    <row r="556" spans="1:16" x14ac:dyDescent="0.35">
      <c r="A556" s="2" t="s">
        <v>39</v>
      </c>
      <c r="B556" s="2" t="s">
        <v>10</v>
      </c>
      <c r="C556" s="2" t="s">
        <v>38</v>
      </c>
      <c r="D556" s="2" t="s">
        <v>14</v>
      </c>
      <c r="E556" s="2">
        <v>116</v>
      </c>
      <c r="F556" s="2">
        <v>167</v>
      </c>
      <c r="G556" s="2">
        <v>111</v>
      </c>
      <c r="H556" s="2">
        <v>0</v>
      </c>
      <c r="I556" s="2">
        <v>0</v>
      </c>
      <c r="J556" s="2">
        <f>ABS(F556-E556)</f>
        <v>51</v>
      </c>
      <c r="K556" s="29">
        <f>J556/E556</f>
        <v>0.43965517241379309</v>
      </c>
      <c r="L556" s="2">
        <f>ABS(G556-E556)</f>
        <v>5</v>
      </c>
      <c r="M556" s="50">
        <f>(L556/E556)</f>
        <v>4.3103448275862072E-2</v>
      </c>
      <c r="N556" s="2">
        <v>132</v>
      </c>
      <c r="O556" s="11">
        <f t="shared" si="16"/>
        <v>16</v>
      </c>
      <c r="P556" s="29">
        <f t="shared" si="17"/>
        <v>0.13793103448275862</v>
      </c>
    </row>
    <row r="557" spans="1:16" x14ac:dyDescent="0.35">
      <c r="A557" s="2" t="s">
        <v>39</v>
      </c>
      <c r="B557" s="2" t="s">
        <v>10</v>
      </c>
      <c r="C557" s="2" t="s">
        <v>38</v>
      </c>
      <c r="D557" s="2" t="s">
        <v>15</v>
      </c>
      <c r="E557" s="2">
        <v>125</v>
      </c>
      <c r="F557" s="2">
        <v>145</v>
      </c>
      <c r="G557" s="2">
        <v>118</v>
      </c>
      <c r="H557" s="2">
        <v>0</v>
      </c>
      <c r="I557" s="2">
        <v>0</v>
      </c>
      <c r="J557" s="2">
        <f>ABS(F557-E557)</f>
        <v>20</v>
      </c>
      <c r="K557" s="29">
        <f>J557/E557</f>
        <v>0.16</v>
      </c>
      <c r="L557" s="2">
        <f>ABS(G557-E557)</f>
        <v>7</v>
      </c>
      <c r="M557" s="50">
        <f>(L557/E557)</f>
        <v>5.6000000000000001E-2</v>
      </c>
      <c r="N557" s="2">
        <v>126</v>
      </c>
      <c r="O557" s="11">
        <f t="shared" si="16"/>
        <v>1</v>
      </c>
      <c r="P557" s="29">
        <f t="shared" si="17"/>
        <v>8.0000000000000002E-3</v>
      </c>
    </row>
    <row r="558" spans="1:16" x14ac:dyDescent="0.35">
      <c r="A558" s="2" t="s">
        <v>39</v>
      </c>
      <c r="B558" s="2" t="s">
        <v>10</v>
      </c>
      <c r="C558" s="2" t="s">
        <v>38</v>
      </c>
      <c r="D558" s="2" t="s">
        <v>16</v>
      </c>
      <c r="E558" s="2">
        <v>121</v>
      </c>
      <c r="F558" s="2">
        <v>135</v>
      </c>
      <c r="G558" s="2">
        <v>134</v>
      </c>
      <c r="H558" s="2">
        <v>1</v>
      </c>
      <c r="I558" s="2">
        <v>0</v>
      </c>
      <c r="J558" s="2">
        <f>ABS(F558-E558)</f>
        <v>14</v>
      </c>
      <c r="K558" s="29">
        <f>J558/E558</f>
        <v>0.11570247933884298</v>
      </c>
      <c r="L558" s="2">
        <f>ABS(G558-E558)</f>
        <v>13</v>
      </c>
      <c r="M558" s="50">
        <f>(L558/E558)</f>
        <v>0.10743801652892562</v>
      </c>
      <c r="N558" s="2">
        <v>115</v>
      </c>
      <c r="O558" s="11">
        <f t="shared" si="16"/>
        <v>6</v>
      </c>
      <c r="P558" s="29">
        <f t="shared" si="17"/>
        <v>4.9586776859504134E-2</v>
      </c>
    </row>
    <row r="559" spans="1:16" x14ac:dyDescent="0.35">
      <c r="A559" s="2" t="s">
        <v>39</v>
      </c>
      <c r="B559" s="2" t="s">
        <v>10</v>
      </c>
      <c r="C559" s="2" t="s">
        <v>38</v>
      </c>
      <c r="D559" s="2" t="s">
        <v>17</v>
      </c>
      <c r="E559" s="2">
        <v>114</v>
      </c>
      <c r="F559" s="2">
        <v>125</v>
      </c>
      <c r="G559" s="2">
        <v>129</v>
      </c>
      <c r="H559" s="2">
        <v>0</v>
      </c>
      <c r="I559" s="2">
        <v>0</v>
      </c>
      <c r="J559" s="2">
        <f>ABS(F559-E559)</f>
        <v>11</v>
      </c>
      <c r="K559" s="29">
        <f>J559/E559</f>
        <v>9.6491228070175433E-2</v>
      </c>
      <c r="L559" s="2">
        <f>ABS(G559-E559)</f>
        <v>15</v>
      </c>
      <c r="M559" s="50">
        <f>(L559/E559)</f>
        <v>0.13157894736842105</v>
      </c>
      <c r="N559" s="2">
        <v>114</v>
      </c>
      <c r="O559" s="11">
        <f t="shared" si="16"/>
        <v>0</v>
      </c>
      <c r="P559" s="29">
        <f t="shared" si="17"/>
        <v>0</v>
      </c>
    </row>
    <row r="560" spans="1:16" x14ac:dyDescent="0.35">
      <c r="A560" s="2" t="s">
        <v>39</v>
      </c>
      <c r="B560" s="2" t="s">
        <v>10</v>
      </c>
      <c r="C560" s="2" t="s">
        <v>38</v>
      </c>
      <c r="D560" s="2" t="s">
        <v>18</v>
      </c>
      <c r="E560" s="2">
        <v>79</v>
      </c>
      <c r="F560" s="2">
        <v>83</v>
      </c>
      <c r="G560" s="2">
        <v>84</v>
      </c>
      <c r="H560" s="2">
        <v>1</v>
      </c>
      <c r="I560" s="2">
        <v>0</v>
      </c>
      <c r="J560" s="2">
        <f>ABS(F560-E560)</f>
        <v>4</v>
      </c>
      <c r="K560" s="29">
        <f>J560/E560</f>
        <v>5.0632911392405063E-2</v>
      </c>
      <c r="L560" s="2">
        <f>ABS(G560-E560)</f>
        <v>5</v>
      </c>
      <c r="M560" s="50">
        <f>(L560/E560)</f>
        <v>6.3291139240506333E-2</v>
      </c>
      <c r="N560" s="2">
        <v>81</v>
      </c>
      <c r="O560" s="11">
        <f t="shared" si="16"/>
        <v>2</v>
      </c>
      <c r="P560" s="29">
        <f t="shared" si="17"/>
        <v>2.5316455696202531E-2</v>
      </c>
    </row>
    <row r="561" spans="1:16" x14ac:dyDescent="0.35">
      <c r="A561" s="2" t="s">
        <v>39</v>
      </c>
      <c r="B561" s="2" t="s">
        <v>10</v>
      </c>
      <c r="C561" s="2" t="s">
        <v>38</v>
      </c>
      <c r="D561" s="2" t="s">
        <v>19</v>
      </c>
      <c r="E561" s="2">
        <v>94</v>
      </c>
      <c r="F561" s="2">
        <v>112</v>
      </c>
      <c r="G561" s="2">
        <v>102</v>
      </c>
      <c r="H561" s="2">
        <v>0</v>
      </c>
      <c r="I561" s="2">
        <v>0</v>
      </c>
      <c r="J561" s="2">
        <f>ABS(F561-E561)</f>
        <v>18</v>
      </c>
      <c r="K561" s="29">
        <f>J561/E561</f>
        <v>0.19148936170212766</v>
      </c>
      <c r="L561" s="2">
        <f>ABS(G561-E561)</f>
        <v>8</v>
      </c>
      <c r="M561" s="50">
        <f>(L561/E561)</f>
        <v>8.5106382978723402E-2</v>
      </c>
      <c r="N561" s="2">
        <v>96</v>
      </c>
      <c r="O561" s="11">
        <f t="shared" si="16"/>
        <v>2</v>
      </c>
      <c r="P561" s="29">
        <f t="shared" si="17"/>
        <v>2.1276595744680851E-2</v>
      </c>
    </row>
    <row r="562" spans="1:16" x14ac:dyDescent="0.35">
      <c r="A562" s="2" t="s">
        <v>39</v>
      </c>
      <c r="B562" s="2" t="s">
        <v>10</v>
      </c>
      <c r="C562" s="2" t="s">
        <v>38</v>
      </c>
      <c r="D562" s="2" t="s">
        <v>20</v>
      </c>
      <c r="E562" s="2">
        <v>79</v>
      </c>
      <c r="F562" s="2">
        <v>75</v>
      </c>
      <c r="G562" s="2">
        <v>77</v>
      </c>
      <c r="H562" s="2">
        <v>0</v>
      </c>
      <c r="I562" s="2">
        <v>0</v>
      </c>
      <c r="J562" s="2">
        <f>ABS(F562-E562)</f>
        <v>4</v>
      </c>
      <c r="K562" s="29">
        <f>J562/E562</f>
        <v>5.0632911392405063E-2</v>
      </c>
      <c r="L562" s="2">
        <f>ABS(G562-E562)</f>
        <v>2</v>
      </c>
      <c r="M562" s="50">
        <f>(L562/E562)</f>
        <v>2.5316455696202531E-2</v>
      </c>
      <c r="N562" s="2">
        <v>80</v>
      </c>
      <c r="O562" s="11">
        <f t="shared" si="16"/>
        <v>1</v>
      </c>
      <c r="P562" s="29">
        <f t="shared" si="17"/>
        <v>1.2658227848101266E-2</v>
      </c>
    </row>
    <row r="563" spans="1:16" x14ac:dyDescent="0.35">
      <c r="A563" s="2" t="s">
        <v>39</v>
      </c>
      <c r="B563" s="2" t="s">
        <v>10</v>
      </c>
      <c r="C563" s="2" t="s">
        <v>38</v>
      </c>
      <c r="D563" s="2" t="s">
        <v>21</v>
      </c>
      <c r="E563" s="2">
        <v>80</v>
      </c>
      <c r="F563" s="2">
        <v>115</v>
      </c>
      <c r="G563" s="2">
        <v>77</v>
      </c>
      <c r="H563" s="2">
        <v>1</v>
      </c>
      <c r="I563" s="2">
        <v>0</v>
      </c>
      <c r="J563" s="2">
        <f>ABS(F563-E563)</f>
        <v>35</v>
      </c>
      <c r="K563" s="29">
        <f>J563/E563</f>
        <v>0.4375</v>
      </c>
      <c r="L563" s="2">
        <f>ABS(G563-E563)</f>
        <v>3</v>
      </c>
      <c r="M563" s="50">
        <f>(L563/E563)</f>
        <v>3.7499999999999999E-2</v>
      </c>
      <c r="N563" s="2">
        <v>90</v>
      </c>
      <c r="O563" s="11">
        <f t="shared" si="16"/>
        <v>10</v>
      </c>
      <c r="P563" s="29">
        <f t="shared" si="17"/>
        <v>0.125</v>
      </c>
    </row>
    <row r="564" spans="1:16" x14ac:dyDescent="0.35">
      <c r="A564" s="2" t="s">
        <v>39</v>
      </c>
      <c r="B564" s="2" t="s">
        <v>10</v>
      </c>
      <c r="C564" s="2" t="s">
        <v>38</v>
      </c>
      <c r="D564" s="2" t="s">
        <v>22</v>
      </c>
      <c r="E564" s="2">
        <v>97</v>
      </c>
      <c r="F564" s="2">
        <v>108</v>
      </c>
      <c r="G564" s="2">
        <v>105</v>
      </c>
      <c r="H564" s="2">
        <v>0</v>
      </c>
      <c r="I564" s="2">
        <v>0</v>
      </c>
      <c r="J564" s="2">
        <f>ABS(F564-E564)</f>
        <v>11</v>
      </c>
      <c r="K564" s="29">
        <f>J564/E564</f>
        <v>0.1134020618556701</v>
      </c>
      <c r="L564" s="2">
        <f>ABS(G564-E564)</f>
        <v>8</v>
      </c>
      <c r="M564" s="50">
        <f>(L564/E564)</f>
        <v>8.247422680412371E-2</v>
      </c>
      <c r="N564" s="2">
        <v>93</v>
      </c>
      <c r="O564" s="11">
        <f t="shared" si="16"/>
        <v>4</v>
      </c>
      <c r="P564" s="29">
        <f t="shared" si="17"/>
        <v>4.1237113402061855E-2</v>
      </c>
    </row>
    <row r="565" spans="1:16" x14ac:dyDescent="0.35">
      <c r="A565" s="2" t="s">
        <v>39</v>
      </c>
      <c r="B565" s="2" t="s">
        <v>10</v>
      </c>
      <c r="C565" s="2" t="s">
        <v>38</v>
      </c>
      <c r="D565" s="2" t="s">
        <v>23</v>
      </c>
      <c r="E565" s="2">
        <v>112</v>
      </c>
      <c r="F565" s="2">
        <v>141</v>
      </c>
      <c r="G565" s="2">
        <v>109</v>
      </c>
      <c r="H565" s="2">
        <v>0</v>
      </c>
      <c r="I565" s="2">
        <v>0</v>
      </c>
      <c r="J565" s="2">
        <f>ABS(F565-E565)</f>
        <v>29</v>
      </c>
      <c r="K565" s="29">
        <f>J565/E565</f>
        <v>0.25892857142857145</v>
      </c>
      <c r="L565" s="2">
        <f>ABS(G565-E565)</f>
        <v>3</v>
      </c>
      <c r="M565" s="50">
        <f>(L565/E565)</f>
        <v>2.6785714285714284E-2</v>
      </c>
      <c r="N565" s="2">
        <v>117</v>
      </c>
      <c r="O565" s="11">
        <f t="shared" si="16"/>
        <v>5</v>
      </c>
      <c r="P565" s="29">
        <f t="shared" si="17"/>
        <v>4.4642857142857144E-2</v>
      </c>
    </row>
    <row r="566" spans="1:16" x14ac:dyDescent="0.35">
      <c r="A566" s="2" t="s">
        <v>39</v>
      </c>
      <c r="B566" s="2" t="s">
        <v>10</v>
      </c>
      <c r="C566" s="2" t="s">
        <v>38</v>
      </c>
      <c r="D566" s="2" t="s">
        <v>24</v>
      </c>
      <c r="E566" s="2">
        <v>127</v>
      </c>
      <c r="F566" s="2">
        <v>147</v>
      </c>
      <c r="G566" s="2">
        <v>120</v>
      </c>
      <c r="H566" s="2">
        <v>0</v>
      </c>
      <c r="I566" s="2">
        <v>0</v>
      </c>
      <c r="J566" s="2">
        <f>ABS(F566-E566)</f>
        <v>20</v>
      </c>
      <c r="K566" s="29">
        <f>J566/E566</f>
        <v>0.15748031496062992</v>
      </c>
      <c r="L566" s="2">
        <f>ABS(G566-E566)</f>
        <v>7</v>
      </c>
      <c r="M566" s="50">
        <f>(L566/E566)</f>
        <v>5.5118110236220472E-2</v>
      </c>
      <c r="N566" s="2">
        <v>131</v>
      </c>
      <c r="O566" s="11">
        <f t="shared" si="16"/>
        <v>4</v>
      </c>
      <c r="P566" s="29">
        <f t="shared" si="17"/>
        <v>3.1496062992125984E-2</v>
      </c>
    </row>
    <row r="567" spans="1:16" x14ac:dyDescent="0.35">
      <c r="A567" s="2" t="s">
        <v>39</v>
      </c>
      <c r="B567" s="2" t="s">
        <v>10</v>
      </c>
      <c r="C567" s="2" t="s">
        <v>38</v>
      </c>
      <c r="D567" s="2" t="s">
        <v>25</v>
      </c>
      <c r="E567" s="2">
        <v>126</v>
      </c>
      <c r="F567" s="2">
        <v>156</v>
      </c>
      <c r="G567" s="2">
        <v>116</v>
      </c>
      <c r="H567" s="2">
        <v>1</v>
      </c>
      <c r="I567" s="2">
        <v>0</v>
      </c>
      <c r="J567" s="2">
        <f>ABS(F567-E567)</f>
        <v>30</v>
      </c>
      <c r="K567" s="29">
        <f>J567/E567</f>
        <v>0.23809523809523808</v>
      </c>
      <c r="L567" s="2">
        <f>ABS(G567-E567)</f>
        <v>10</v>
      </c>
      <c r="M567" s="50">
        <f>(L567/E567)</f>
        <v>7.9365079365079361E-2</v>
      </c>
      <c r="N567" s="2">
        <v>133</v>
      </c>
      <c r="O567" s="11">
        <f t="shared" si="16"/>
        <v>7</v>
      </c>
      <c r="P567" s="29">
        <f t="shared" si="17"/>
        <v>5.5555555555555552E-2</v>
      </c>
    </row>
    <row r="568" spans="1:16" x14ac:dyDescent="0.35">
      <c r="A568" s="2" t="s">
        <v>39</v>
      </c>
      <c r="B568" s="2" t="s">
        <v>10</v>
      </c>
      <c r="C568" s="2" t="s">
        <v>38</v>
      </c>
      <c r="D568" s="2" t="s">
        <v>26</v>
      </c>
      <c r="E568" s="2">
        <v>144</v>
      </c>
      <c r="F568" s="2">
        <v>173</v>
      </c>
      <c r="G568" s="2">
        <v>142</v>
      </c>
      <c r="H568" s="2">
        <v>1</v>
      </c>
      <c r="I568" s="2">
        <v>0</v>
      </c>
      <c r="J568" s="2">
        <f>ABS(F568-E568)</f>
        <v>29</v>
      </c>
      <c r="K568" s="29">
        <f>J568/E568</f>
        <v>0.2013888888888889</v>
      </c>
      <c r="L568" s="2">
        <f>ABS(G568-E568)</f>
        <v>2</v>
      </c>
      <c r="M568" s="50">
        <f>(L568/E568)</f>
        <v>1.3888888888888888E-2</v>
      </c>
      <c r="N568" s="2">
        <v>149</v>
      </c>
      <c r="O568" s="11">
        <f t="shared" si="16"/>
        <v>5</v>
      </c>
      <c r="P568" s="29">
        <f t="shared" si="17"/>
        <v>3.4722222222222224E-2</v>
      </c>
    </row>
    <row r="569" spans="1:16" x14ac:dyDescent="0.35">
      <c r="A569" s="2" t="s">
        <v>39</v>
      </c>
      <c r="B569" s="2" t="s">
        <v>10</v>
      </c>
      <c r="C569" s="2" t="s">
        <v>38</v>
      </c>
      <c r="D569" s="2" t="s">
        <v>27</v>
      </c>
      <c r="E569" s="2">
        <v>121</v>
      </c>
      <c r="F569" s="2">
        <v>142</v>
      </c>
      <c r="G569" s="2">
        <v>117</v>
      </c>
      <c r="H569" s="2">
        <v>1</v>
      </c>
      <c r="I569" s="2">
        <v>0</v>
      </c>
      <c r="J569" s="2">
        <f>ABS(F569-E569)</f>
        <v>21</v>
      </c>
      <c r="K569" s="29">
        <f>J569/E569</f>
        <v>0.17355371900826447</v>
      </c>
      <c r="L569" s="2">
        <f>ABS(G569-E569)</f>
        <v>4</v>
      </c>
      <c r="M569" s="50">
        <f>(L569/E569)</f>
        <v>3.3057851239669422E-2</v>
      </c>
      <c r="N569" s="2">
        <v>132</v>
      </c>
      <c r="O569" s="11">
        <f t="shared" si="16"/>
        <v>11</v>
      </c>
      <c r="P569" s="29">
        <f t="shared" si="17"/>
        <v>9.0909090909090912E-2</v>
      </c>
    </row>
    <row r="570" spans="1:16" x14ac:dyDescent="0.35">
      <c r="A570" s="2" t="s">
        <v>39</v>
      </c>
      <c r="B570" s="2" t="s">
        <v>10</v>
      </c>
      <c r="C570" s="2" t="s">
        <v>38</v>
      </c>
      <c r="D570" s="2" t="s">
        <v>28</v>
      </c>
      <c r="E570" s="2">
        <v>63</v>
      </c>
      <c r="F570" s="2">
        <v>78</v>
      </c>
      <c r="G570" s="2">
        <v>59</v>
      </c>
      <c r="H570" s="2">
        <v>0</v>
      </c>
      <c r="I570" s="2">
        <v>1</v>
      </c>
      <c r="J570" s="2">
        <f>ABS(F570-E570)</f>
        <v>15</v>
      </c>
      <c r="K570" s="29">
        <f>J570/E570</f>
        <v>0.23809523809523808</v>
      </c>
      <c r="L570" s="2">
        <f>ABS(G570-E570)</f>
        <v>4</v>
      </c>
      <c r="M570" s="50">
        <f>(L570/E570)</f>
        <v>6.3492063492063489E-2</v>
      </c>
      <c r="N570" s="2">
        <v>73</v>
      </c>
      <c r="O570" s="11">
        <f t="shared" si="16"/>
        <v>10</v>
      </c>
      <c r="P570" s="29">
        <f t="shared" si="17"/>
        <v>0.15873015873015872</v>
      </c>
    </row>
    <row r="571" spans="1:16" x14ac:dyDescent="0.35">
      <c r="A571" s="2" t="s">
        <v>39</v>
      </c>
      <c r="B571" s="2" t="s">
        <v>10</v>
      </c>
      <c r="C571" s="2" t="s">
        <v>38</v>
      </c>
      <c r="D571" s="2" t="s">
        <v>29</v>
      </c>
      <c r="E571" s="2">
        <v>117</v>
      </c>
      <c r="F571" s="2">
        <v>119</v>
      </c>
      <c r="G571" s="2">
        <v>118</v>
      </c>
      <c r="H571" s="2">
        <v>0</v>
      </c>
      <c r="I571" s="2">
        <v>0</v>
      </c>
      <c r="J571" s="2">
        <f>ABS(F571-E571)</f>
        <v>2</v>
      </c>
      <c r="K571" s="29">
        <f>J571/E571</f>
        <v>1.7094017094017096E-2</v>
      </c>
      <c r="L571" s="2">
        <f>ABS(G571-E571)</f>
        <v>1</v>
      </c>
      <c r="M571" s="50">
        <f>(L571/E571)</f>
        <v>8.5470085470085479E-3</v>
      </c>
      <c r="N571" s="2">
        <v>113</v>
      </c>
      <c r="O571" s="11">
        <f t="shared" si="16"/>
        <v>4</v>
      </c>
      <c r="P571" s="29">
        <f t="shared" si="17"/>
        <v>3.4188034188034191E-2</v>
      </c>
    </row>
    <row r="572" spans="1:16" x14ac:dyDescent="0.35">
      <c r="A572" s="2" t="s">
        <v>39</v>
      </c>
      <c r="B572" s="2" t="s">
        <v>10</v>
      </c>
      <c r="C572" s="2" t="s">
        <v>38</v>
      </c>
      <c r="D572" s="2" t="s">
        <v>30</v>
      </c>
      <c r="E572" s="2">
        <v>122</v>
      </c>
      <c r="F572" s="2">
        <v>136</v>
      </c>
      <c r="G572" s="2">
        <v>108</v>
      </c>
      <c r="H572" s="2">
        <v>0</v>
      </c>
      <c r="I572" s="2">
        <v>0</v>
      </c>
      <c r="J572" s="2">
        <f>ABS(F572-E572)</f>
        <v>14</v>
      </c>
      <c r="K572" s="29">
        <f>J572/E572</f>
        <v>0.11475409836065574</v>
      </c>
      <c r="L572" s="2">
        <f>ABS(G572-E572)</f>
        <v>14</v>
      </c>
      <c r="M572" s="50">
        <f>(L572/E572)</f>
        <v>0.11475409836065574</v>
      </c>
      <c r="N572" s="2">
        <v>117</v>
      </c>
      <c r="O572" s="11">
        <f t="shared" si="16"/>
        <v>5</v>
      </c>
      <c r="P572" s="29">
        <f t="shared" si="17"/>
        <v>4.0983606557377046E-2</v>
      </c>
    </row>
    <row r="573" spans="1:16" x14ac:dyDescent="0.35">
      <c r="A573" s="2" t="s">
        <v>39</v>
      </c>
      <c r="B573" s="2" t="s">
        <v>10</v>
      </c>
      <c r="C573" s="2" t="s">
        <v>38</v>
      </c>
      <c r="D573" s="2" t="s">
        <v>31</v>
      </c>
      <c r="E573" s="2">
        <v>83</v>
      </c>
      <c r="F573" s="2">
        <v>97</v>
      </c>
      <c r="G573" s="2">
        <v>82</v>
      </c>
      <c r="H573" s="2">
        <v>0</v>
      </c>
      <c r="I573" s="2">
        <v>0</v>
      </c>
      <c r="J573" s="2">
        <f>ABS(F573-E573)</f>
        <v>14</v>
      </c>
      <c r="K573" s="29">
        <f>J573/E573</f>
        <v>0.16867469879518071</v>
      </c>
      <c r="L573" s="2">
        <f>ABS(G573-E573)</f>
        <v>1</v>
      </c>
      <c r="M573" s="50">
        <f>(L573/E573)</f>
        <v>1.2048192771084338E-2</v>
      </c>
      <c r="N573" s="2">
        <v>90</v>
      </c>
      <c r="O573" s="11">
        <f t="shared" si="16"/>
        <v>7</v>
      </c>
      <c r="P573" s="29">
        <f t="shared" si="17"/>
        <v>8.4337349397590355E-2</v>
      </c>
    </row>
    <row r="574" spans="1:16" x14ac:dyDescent="0.35">
      <c r="A574" s="2" t="s">
        <v>39</v>
      </c>
      <c r="B574" s="2" t="s">
        <v>10</v>
      </c>
      <c r="C574" s="2" t="s">
        <v>38</v>
      </c>
      <c r="D574" s="2" t="s">
        <v>32</v>
      </c>
      <c r="E574" s="2">
        <v>80</v>
      </c>
      <c r="F574" s="2">
        <v>88</v>
      </c>
      <c r="G574" s="2">
        <v>80</v>
      </c>
      <c r="H574" s="2">
        <v>1</v>
      </c>
      <c r="I574" s="2">
        <v>0</v>
      </c>
      <c r="J574" s="2">
        <f>ABS(F574-E574)</f>
        <v>8</v>
      </c>
      <c r="K574" s="29">
        <f>J574/E574</f>
        <v>0.1</v>
      </c>
      <c r="L574" s="2">
        <f>ABS(G574-E574)</f>
        <v>0</v>
      </c>
      <c r="M574" s="50">
        <f>(L574/E574)</f>
        <v>0</v>
      </c>
      <c r="N574" s="2">
        <v>83</v>
      </c>
      <c r="O574" s="11">
        <f t="shared" si="16"/>
        <v>3</v>
      </c>
      <c r="P574" s="29">
        <f t="shared" si="17"/>
        <v>3.7499999999999999E-2</v>
      </c>
    </row>
    <row r="575" spans="1:16" x14ac:dyDescent="0.35">
      <c r="A575" s="2" t="s">
        <v>39</v>
      </c>
      <c r="B575" s="2" t="s">
        <v>10</v>
      </c>
      <c r="C575" s="2" t="s">
        <v>38</v>
      </c>
      <c r="D575" s="2" t="s">
        <v>33</v>
      </c>
      <c r="E575" s="2">
        <v>85</v>
      </c>
      <c r="F575" s="2">
        <v>108</v>
      </c>
      <c r="G575" s="2">
        <v>85</v>
      </c>
      <c r="H575" s="2">
        <v>1</v>
      </c>
      <c r="I575" s="2">
        <v>0</v>
      </c>
      <c r="J575" s="2">
        <f>ABS(F575-E575)</f>
        <v>23</v>
      </c>
      <c r="K575" s="29">
        <f>J575/E575</f>
        <v>0.27058823529411763</v>
      </c>
      <c r="L575" s="2">
        <f>ABS(G575-E575)</f>
        <v>0</v>
      </c>
      <c r="M575" s="50">
        <f>(L575/E575)</f>
        <v>0</v>
      </c>
      <c r="N575" s="2">
        <v>94</v>
      </c>
      <c r="O575" s="11">
        <f t="shared" si="16"/>
        <v>9</v>
      </c>
      <c r="P575" s="29">
        <f t="shared" si="17"/>
        <v>0.10588235294117647</v>
      </c>
    </row>
    <row r="576" spans="1:16" x14ac:dyDescent="0.35">
      <c r="A576" s="2" t="s">
        <v>39</v>
      </c>
      <c r="B576" s="2" t="s">
        <v>10</v>
      </c>
      <c r="C576" s="2" t="s">
        <v>38</v>
      </c>
      <c r="D576" s="2" t="s">
        <v>34</v>
      </c>
      <c r="E576" s="2">
        <v>110</v>
      </c>
      <c r="F576" s="2">
        <v>132</v>
      </c>
      <c r="G576" s="2">
        <v>110</v>
      </c>
      <c r="H576" s="2">
        <v>0</v>
      </c>
      <c r="I576" s="2">
        <v>0</v>
      </c>
      <c r="J576" s="2">
        <f>ABS(F576-E576)</f>
        <v>22</v>
      </c>
      <c r="K576" s="29">
        <f>J576/E576</f>
        <v>0.2</v>
      </c>
      <c r="L576" s="2">
        <f>ABS(G576-E576)</f>
        <v>0</v>
      </c>
      <c r="M576" s="50">
        <f>(L576/E576)</f>
        <v>0</v>
      </c>
      <c r="N576" s="2">
        <v>114</v>
      </c>
      <c r="O576" s="11">
        <f t="shared" si="16"/>
        <v>4</v>
      </c>
      <c r="P576" s="29">
        <f t="shared" si="17"/>
        <v>3.6363636363636362E-2</v>
      </c>
    </row>
    <row r="577" spans="1:16" x14ac:dyDescent="0.35">
      <c r="A577" s="2" t="s">
        <v>39</v>
      </c>
      <c r="B577" s="2" t="s">
        <v>10</v>
      </c>
      <c r="C577" s="2" t="s">
        <v>38</v>
      </c>
      <c r="D577" s="2" t="s">
        <v>35</v>
      </c>
      <c r="E577" s="2">
        <v>130</v>
      </c>
      <c r="F577" s="2">
        <v>150</v>
      </c>
      <c r="G577" s="2">
        <v>128</v>
      </c>
      <c r="H577" s="2">
        <v>1</v>
      </c>
      <c r="I577" s="2">
        <v>0</v>
      </c>
      <c r="J577" s="2">
        <f>ABS(F577-E577)</f>
        <v>20</v>
      </c>
      <c r="K577" s="29">
        <f>J577/E577</f>
        <v>0.15384615384615385</v>
      </c>
      <c r="L577" s="2">
        <f>ABS(G577-E577)</f>
        <v>2</v>
      </c>
      <c r="M577" s="50">
        <f>(L577/E577)</f>
        <v>1.5384615384615385E-2</v>
      </c>
      <c r="N577" s="2">
        <v>131</v>
      </c>
      <c r="O577" s="11">
        <f t="shared" si="16"/>
        <v>1</v>
      </c>
      <c r="P577" s="29">
        <f t="shared" si="17"/>
        <v>7.6923076923076927E-3</v>
      </c>
    </row>
    <row r="578" spans="1:16" x14ac:dyDescent="0.35">
      <c r="A578" s="2" t="s">
        <v>43</v>
      </c>
      <c r="B578" s="2" t="s">
        <v>44</v>
      </c>
      <c r="C578" s="2" t="s">
        <v>11</v>
      </c>
      <c r="D578" s="2" t="s">
        <v>12</v>
      </c>
      <c r="E578" s="2">
        <v>161</v>
      </c>
      <c r="F578" s="2">
        <v>154</v>
      </c>
      <c r="G578" s="2">
        <v>167</v>
      </c>
      <c r="H578" s="2">
        <v>0</v>
      </c>
      <c r="I578" s="2">
        <v>0</v>
      </c>
      <c r="J578" s="2">
        <f>ABS(F578-E578)</f>
        <v>7</v>
      </c>
      <c r="K578" s="29">
        <f>J578/E578</f>
        <v>4.3478260869565216E-2</v>
      </c>
      <c r="L578" s="2">
        <f>ABS(G578-E578)</f>
        <v>6</v>
      </c>
      <c r="M578" s="50">
        <f>(L578/E578)</f>
        <v>3.7267080745341616E-2</v>
      </c>
      <c r="N578" s="2">
        <v>153</v>
      </c>
      <c r="O578" s="11">
        <f t="shared" si="16"/>
        <v>8</v>
      </c>
      <c r="P578" s="29">
        <f t="shared" si="17"/>
        <v>4.9689440993788817E-2</v>
      </c>
    </row>
    <row r="579" spans="1:16" x14ac:dyDescent="0.35">
      <c r="A579" s="2" t="s">
        <v>43</v>
      </c>
      <c r="B579" s="2" t="s">
        <v>44</v>
      </c>
      <c r="C579" s="2" t="s">
        <v>11</v>
      </c>
      <c r="D579" s="2" t="s">
        <v>13</v>
      </c>
      <c r="E579" s="2">
        <v>161</v>
      </c>
      <c r="F579" s="2">
        <v>134</v>
      </c>
      <c r="G579" s="2">
        <v>140</v>
      </c>
      <c r="H579" s="2">
        <v>0</v>
      </c>
      <c r="I579" s="2">
        <v>0</v>
      </c>
      <c r="J579" s="2">
        <f>ABS(F579-E579)</f>
        <v>27</v>
      </c>
      <c r="K579" s="29">
        <f>J579/E579</f>
        <v>0.16770186335403728</v>
      </c>
      <c r="L579" s="2">
        <f>ABS(G579-E579)</f>
        <v>21</v>
      </c>
      <c r="M579" s="50">
        <f>(L579/E579)</f>
        <v>0.13043478260869565</v>
      </c>
      <c r="N579" s="2">
        <v>157</v>
      </c>
      <c r="O579" s="11">
        <f t="shared" ref="O579:O642" si="18">ABS(N579-E579)</f>
        <v>4</v>
      </c>
      <c r="P579" s="29">
        <f t="shared" ref="P579:P642" si="19">O579/E579</f>
        <v>2.4844720496894408E-2</v>
      </c>
    </row>
    <row r="580" spans="1:16" x14ac:dyDescent="0.35">
      <c r="A580" s="2" t="s">
        <v>43</v>
      </c>
      <c r="B580" s="2" t="s">
        <v>44</v>
      </c>
      <c r="C580" s="2" t="s">
        <v>11</v>
      </c>
      <c r="D580" s="2" t="s">
        <v>14</v>
      </c>
      <c r="E580" s="2">
        <v>141</v>
      </c>
      <c r="F580" s="2">
        <v>100</v>
      </c>
      <c r="G580" s="2">
        <v>147</v>
      </c>
      <c r="H580" s="2">
        <v>0</v>
      </c>
      <c r="I580" s="2">
        <v>0</v>
      </c>
      <c r="J580" s="2">
        <f>ABS(F580-E580)</f>
        <v>41</v>
      </c>
      <c r="K580" s="29">
        <f>J580/E580</f>
        <v>0.29078014184397161</v>
      </c>
      <c r="L580" s="2">
        <f>ABS(G580-E580)</f>
        <v>6</v>
      </c>
      <c r="M580" s="50">
        <f>(L580/E580)</f>
        <v>4.2553191489361701E-2</v>
      </c>
      <c r="N580" s="2">
        <v>122</v>
      </c>
      <c r="O580" s="11">
        <f t="shared" si="18"/>
        <v>19</v>
      </c>
      <c r="P580" s="29">
        <f t="shared" si="19"/>
        <v>0.13475177304964539</v>
      </c>
    </row>
    <row r="581" spans="1:16" x14ac:dyDescent="0.35">
      <c r="A581" s="2" t="s">
        <v>43</v>
      </c>
      <c r="B581" s="2" t="s">
        <v>44</v>
      </c>
      <c r="C581" s="2" t="s">
        <v>11</v>
      </c>
      <c r="D581" s="2" t="s">
        <v>15</v>
      </c>
      <c r="E581" s="2">
        <v>195</v>
      </c>
      <c r="F581" s="2">
        <v>196</v>
      </c>
      <c r="G581" s="2">
        <v>197</v>
      </c>
      <c r="H581" s="2">
        <v>1</v>
      </c>
      <c r="I581" s="2">
        <v>0</v>
      </c>
      <c r="J581" s="2">
        <f>ABS(F581-E581)</f>
        <v>1</v>
      </c>
      <c r="K581" s="29">
        <f>J581/E581</f>
        <v>5.1282051282051282E-3</v>
      </c>
      <c r="L581" s="2">
        <f>ABS(G581-E581)</f>
        <v>2</v>
      </c>
      <c r="M581" s="50">
        <f>(L581/E581)</f>
        <v>1.0256410256410256E-2</v>
      </c>
      <c r="N581" s="2">
        <v>190</v>
      </c>
      <c r="O581" s="11">
        <f t="shared" si="18"/>
        <v>5</v>
      </c>
      <c r="P581" s="29">
        <f t="shared" si="19"/>
        <v>2.564102564102564E-2</v>
      </c>
    </row>
    <row r="582" spans="1:16" x14ac:dyDescent="0.35">
      <c r="A582" s="2" t="s">
        <v>43</v>
      </c>
      <c r="B582" s="2" t="s">
        <v>44</v>
      </c>
      <c r="C582" s="2" t="s">
        <v>11</v>
      </c>
      <c r="D582" s="2" t="s">
        <v>16</v>
      </c>
      <c r="E582" s="2">
        <v>126</v>
      </c>
      <c r="F582" s="2">
        <v>119</v>
      </c>
      <c r="G582" s="2">
        <v>122</v>
      </c>
      <c r="H582" s="2">
        <v>0</v>
      </c>
      <c r="I582" s="2">
        <v>0</v>
      </c>
      <c r="J582" s="2">
        <f>ABS(F582-E582)</f>
        <v>7</v>
      </c>
      <c r="K582" s="29">
        <f>J582/E582</f>
        <v>5.5555555555555552E-2</v>
      </c>
      <c r="L582" s="2">
        <f>ABS(G582-E582)</f>
        <v>4</v>
      </c>
      <c r="M582" s="50">
        <f>(L582/E582)</f>
        <v>3.1746031746031744E-2</v>
      </c>
      <c r="N582" s="2">
        <v>135</v>
      </c>
      <c r="O582" s="11">
        <f t="shared" si="18"/>
        <v>9</v>
      </c>
      <c r="P582" s="29">
        <f t="shared" si="19"/>
        <v>7.1428571428571425E-2</v>
      </c>
    </row>
    <row r="583" spans="1:16" x14ac:dyDescent="0.35">
      <c r="A583" s="2" t="s">
        <v>43</v>
      </c>
      <c r="B583" s="2" t="s">
        <v>44</v>
      </c>
      <c r="C583" s="2" t="s">
        <v>11</v>
      </c>
      <c r="D583" s="2" t="s">
        <v>17</v>
      </c>
      <c r="E583" s="2">
        <v>133</v>
      </c>
      <c r="F583" s="2">
        <v>141</v>
      </c>
      <c r="G583" s="2">
        <v>129</v>
      </c>
      <c r="H583" s="2">
        <v>0</v>
      </c>
      <c r="I583" s="2">
        <v>0</v>
      </c>
      <c r="J583" s="2">
        <f>ABS(F583-E583)</f>
        <v>8</v>
      </c>
      <c r="K583" s="29">
        <f>J583/E583</f>
        <v>6.0150375939849621E-2</v>
      </c>
      <c r="L583" s="2">
        <f>ABS(G583-E583)</f>
        <v>4</v>
      </c>
      <c r="M583" s="50">
        <f>(L583/E583)</f>
        <v>3.007518796992481E-2</v>
      </c>
      <c r="N583" s="2">
        <v>133</v>
      </c>
      <c r="O583" s="11">
        <f t="shared" si="18"/>
        <v>0</v>
      </c>
      <c r="P583" s="29">
        <f t="shared" si="19"/>
        <v>0</v>
      </c>
    </row>
    <row r="584" spans="1:16" x14ac:dyDescent="0.35">
      <c r="A584" s="2" t="s">
        <v>43</v>
      </c>
      <c r="B584" s="2" t="s">
        <v>44</v>
      </c>
      <c r="C584" s="2" t="s">
        <v>11</v>
      </c>
      <c r="D584" s="2" t="s">
        <v>18</v>
      </c>
      <c r="E584" s="2">
        <v>116</v>
      </c>
      <c r="F584" s="2">
        <v>114</v>
      </c>
      <c r="G584" s="2">
        <v>114</v>
      </c>
      <c r="H584" s="2">
        <v>0</v>
      </c>
      <c r="I584" s="2">
        <v>0</v>
      </c>
      <c r="J584" s="2">
        <f>ABS(F584-E584)</f>
        <v>2</v>
      </c>
      <c r="K584" s="29">
        <f>J584/E584</f>
        <v>1.7241379310344827E-2</v>
      </c>
      <c r="L584" s="2">
        <f>ABS(G584-E584)</f>
        <v>2</v>
      </c>
      <c r="M584" s="50">
        <f>(L584/E584)</f>
        <v>1.7241379310344827E-2</v>
      </c>
      <c r="N584" s="2">
        <v>118</v>
      </c>
      <c r="O584" s="11">
        <f t="shared" si="18"/>
        <v>2</v>
      </c>
      <c r="P584" s="29">
        <f t="shared" si="19"/>
        <v>1.7241379310344827E-2</v>
      </c>
    </row>
    <row r="585" spans="1:16" x14ac:dyDescent="0.35">
      <c r="A585" s="2" t="s">
        <v>43</v>
      </c>
      <c r="B585" s="2" t="s">
        <v>44</v>
      </c>
      <c r="C585" s="2" t="s">
        <v>11</v>
      </c>
      <c r="D585" s="2" t="s">
        <v>19</v>
      </c>
      <c r="E585" s="2">
        <v>56</v>
      </c>
      <c r="F585" s="2">
        <v>52</v>
      </c>
      <c r="G585" s="2">
        <v>52</v>
      </c>
      <c r="H585" s="2">
        <v>0</v>
      </c>
      <c r="I585" s="2">
        <v>1</v>
      </c>
      <c r="J585" s="2">
        <f>ABS(F585-E585)</f>
        <v>4</v>
      </c>
      <c r="K585" s="29">
        <f>J585/E585</f>
        <v>7.1428571428571425E-2</v>
      </c>
      <c r="L585" s="2">
        <f>ABS(G585-E585)</f>
        <v>4</v>
      </c>
      <c r="M585" s="50">
        <f>(L585/E585)</f>
        <v>7.1428571428571425E-2</v>
      </c>
      <c r="N585" s="2">
        <v>51</v>
      </c>
      <c r="O585" s="11">
        <f t="shared" si="18"/>
        <v>5</v>
      </c>
      <c r="P585" s="29">
        <f t="shared" si="19"/>
        <v>8.9285714285714288E-2</v>
      </c>
    </row>
    <row r="586" spans="1:16" x14ac:dyDescent="0.35">
      <c r="A586" s="2" t="s">
        <v>43</v>
      </c>
      <c r="B586" s="2" t="s">
        <v>44</v>
      </c>
      <c r="C586" s="2" t="s">
        <v>11</v>
      </c>
      <c r="D586" s="2" t="s">
        <v>20</v>
      </c>
      <c r="E586" s="2">
        <v>95</v>
      </c>
      <c r="F586" s="2">
        <v>100</v>
      </c>
      <c r="G586" s="2">
        <v>89</v>
      </c>
      <c r="H586" s="2">
        <v>0</v>
      </c>
      <c r="I586" s="2">
        <v>0</v>
      </c>
      <c r="J586" s="2">
        <f>ABS(F586-E586)</f>
        <v>5</v>
      </c>
      <c r="K586" s="29">
        <f>J586/E586</f>
        <v>5.2631578947368418E-2</v>
      </c>
      <c r="L586" s="2">
        <f>ABS(G586-E586)</f>
        <v>6</v>
      </c>
      <c r="M586" s="50">
        <f>(L586/E586)</f>
        <v>6.3157894736842107E-2</v>
      </c>
      <c r="N586" s="2">
        <v>96</v>
      </c>
      <c r="O586" s="11">
        <f t="shared" si="18"/>
        <v>1</v>
      </c>
      <c r="P586" s="29">
        <f t="shared" si="19"/>
        <v>1.0526315789473684E-2</v>
      </c>
    </row>
    <row r="587" spans="1:16" x14ac:dyDescent="0.35">
      <c r="A587" s="2" t="s">
        <v>43</v>
      </c>
      <c r="B587" s="2" t="s">
        <v>44</v>
      </c>
      <c r="C587" s="2" t="s">
        <v>11</v>
      </c>
      <c r="D587" s="2" t="s">
        <v>21</v>
      </c>
      <c r="E587" s="2">
        <v>61</v>
      </c>
      <c r="F587" s="2">
        <v>63</v>
      </c>
      <c r="G587" s="2">
        <v>62</v>
      </c>
      <c r="H587" s="2">
        <v>0</v>
      </c>
      <c r="I587" s="2">
        <v>1</v>
      </c>
      <c r="J587" s="2">
        <f>ABS(F587-E587)</f>
        <v>2</v>
      </c>
      <c r="K587" s="29">
        <f>J587/E587</f>
        <v>3.2786885245901641E-2</v>
      </c>
      <c r="L587" s="2">
        <f>ABS(G587-E587)</f>
        <v>1</v>
      </c>
      <c r="M587" s="50">
        <f>(L587/E587)</f>
        <v>1.6393442622950821E-2</v>
      </c>
      <c r="N587" s="2">
        <v>60</v>
      </c>
      <c r="O587" s="11">
        <f t="shared" si="18"/>
        <v>1</v>
      </c>
      <c r="P587" s="29">
        <f t="shared" si="19"/>
        <v>1.6393442622950821E-2</v>
      </c>
    </row>
    <row r="588" spans="1:16" x14ac:dyDescent="0.35">
      <c r="A588" s="2" t="s">
        <v>43</v>
      </c>
      <c r="B588" s="2" t="s">
        <v>44</v>
      </c>
      <c r="C588" s="2" t="s">
        <v>11</v>
      </c>
      <c r="D588" s="2" t="s">
        <v>22</v>
      </c>
      <c r="E588" s="2">
        <v>116</v>
      </c>
      <c r="F588" s="2">
        <v>120</v>
      </c>
      <c r="G588" s="2">
        <v>122</v>
      </c>
      <c r="H588" s="2">
        <v>0</v>
      </c>
      <c r="I588" s="2">
        <v>0</v>
      </c>
      <c r="J588" s="2">
        <f>ABS(F588-E588)</f>
        <v>4</v>
      </c>
      <c r="K588" s="29">
        <f>J588/E588</f>
        <v>3.4482758620689655E-2</v>
      </c>
      <c r="L588" s="2">
        <f>ABS(G588-E588)</f>
        <v>6</v>
      </c>
      <c r="M588" s="50">
        <f>(L588/E588)</f>
        <v>5.1724137931034482E-2</v>
      </c>
      <c r="N588" s="2">
        <v>110</v>
      </c>
      <c r="O588" s="11">
        <f t="shared" si="18"/>
        <v>6</v>
      </c>
      <c r="P588" s="29">
        <f t="shared" si="19"/>
        <v>5.1724137931034482E-2</v>
      </c>
    </row>
    <row r="589" spans="1:16" x14ac:dyDescent="0.35">
      <c r="A589" s="2" t="s">
        <v>43</v>
      </c>
      <c r="B589" s="2" t="s">
        <v>44</v>
      </c>
      <c r="C589" s="2" t="s">
        <v>11</v>
      </c>
      <c r="D589" s="2" t="s">
        <v>23</v>
      </c>
      <c r="E589" s="2">
        <v>142</v>
      </c>
      <c r="F589" s="2">
        <v>155</v>
      </c>
      <c r="G589" s="2">
        <v>157</v>
      </c>
      <c r="H589" s="2">
        <v>0</v>
      </c>
      <c r="I589" s="2">
        <v>0</v>
      </c>
      <c r="J589" s="2">
        <f>ABS(F589-E589)</f>
        <v>13</v>
      </c>
      <c r="K589" s="29">
        <f>J589/E589</f>
        <v>9.154929577464789E-2</v>
      </c>
      <c r="L589" s="2">
        <f>ABS(G589-E589)</f>
        <v>15</v>
      </c>
      <c r="M589" s="50">
        <f>(L589/E589)</f>
        <v>0.10563380281690141</v>
      </c>
      <c r="N589" s="2">
        <v>144</v>
      </c>
      <c r="O589" s="11">
        <f t="shared" si="18"/>
        <v>2</v>
      </c>
      <c r="P589" s="29">
        <f t="shared" si="19"/>
        <v>1.4084507042253521E-2</v>
      </c>
    </row>
    <row r="590" spans="1:16" x14ac:dyDescent="0.35">
      <c r="A590" s="2" t="s">
        <v>43</v>
      </c>
      <c r="B590" s="2" t="s">
        <v>44</v>
      </c>
      <c r="C590" s="2" t="s">
        <v>11</v>
      </c>
      <c r="D590" s="2" t="s">
        <v>24</v>
      </c>
      <c r="E590" s="2">
        <v>165</v>
      </c>
      <c r="F590" s="2">
        <v>148</v>
      </c>
      <c r="G590" s="2">
        <v>179</v>
      </c>
      <c r="H590" s="2">
        <v>1</v>
      </c>
      <c r="I590" s="2">
        <v>0</v>
      </c>
      <c r="J590" s="2">
        <f>ABS(F590-E590)</f>
        <v>17</v>
      </c>
      <c r="K590" s="29">
        <f>J590/E590</f>
        <v>0.10303030303030303</v>
      </c>
      <c r="L590" s="2">
        <f>ABS(G590-E590)</f>
        <v>14</v>
      </c>
      <c r="M590" s="50">
        <f>(L590/E590)</f>
        <v>8.4848484848484854E-2</v>
      </c>
      <c r="N590" s="2">
        <v>155</v>
      </c>
      <c r="O590" s="11">
        <f t="shared" si="18"/>
        <v>10</v>
      </c>
      <c r="P590" s="29">
        <f t="shared" si="19"/>
        <v>6.0606060606060608E-2</v>
      </c>
    </row>
    <row r="591" spans="1:16" x14ac:dyDescent="0.35">
      <c r="A591" s="2" t="s">
        <v>43</v>
      </c>
      <c r="B591" s="2" t="s">
        <v>44</v>
      </c>
      <c r="C591" s="2" t="s">
        <v>11</v>
      </c>
      <c r="D591" s="2" t="s">
        <v>25</v>
      </c>
      <c r="E591" s="2">
        <v>141</v>
      </c>
      <c r="F591" s="2">
        <v>138</v>
      </c>
      <c r="G591" s="2">
        <v>158</v>
      </c>
      <c r="H591" s="2">
        <v>0</v>
      </c>
      <c r="I591" s="2">
        <v>0</v>
      </c>
      <c r="J591" s="2">
        <f>ABS(F591-E591)</f>
        <v>3</v>
      </c>
      <c r="K591" s="29">
        <f>J591/E591</f>
        <v>2.1276595744680851E-2</v>
      </c>
      <c r="L591" s="2">
        <f>ABS(G591-E591)</f>
        <v>17</v>
      </c>
      <c r="M591" s="50">
        <f>(L591/E591)</f>
        <v>0.12056737588652482</v>
      </c>
      <c r="N591" s="2">
        <v>143</v>
      </c>
      <c r="O591" s="11">
        <f t="shared" si="18"/>
        <v>2</v>
      </c>
      <c r="P591" s="29">
        <f t="shared" si="19"/>
        <v>1.4184397163120567E-2</v>
      </c>
    </row>
    <row r="592" spans="1:16" x14ac:dyDescent="0.35">
      <c r="A592" s="2" t="s">
        <v>43</v>
      </c>
      <c r="B592" s="2" t="s">
        <v>44</v>
      </c>
      <c r="C592" s="2" t="s">
        <v>11</v>
      </c>
      <c r="D592" s="2" t="s">
        <v>26</v>
      </c>
      <c r="E592" s="2">
        <v>157</v>
      </c>
      <c r="F592" s="2">
        <v>148</v>
      </c>
      <c r="G592" s="2">
        <v>167</v>
      </c>
      <c r="H592" s="2">
        <v>0</v>
      </c>
      <c r="I592" s="2">
        <v>0</v>
      </c>
      <c r="J592" s="2">
        <f>ABS(F592-E592)</f>
        <v>9</v>
      </c>
      <c r="K592" s="29">
        <f>J592/E592</f>
        <v>5.7324840764331211E-2</v>
      </c>
      <c r="L592" s="2">
        <f>ABS(G592-E592)</f>
        <v>10</v>
      </c>
      <c r="M592" s="50">
        <f>(L592/E592)</f>
        <v>6.3694267515923567E-2</v>
      </c>
      <c r="N592" s="2">
        <v>159</v>
      </c>
      <c r="O592" s="11">
        <f t="shared" si="18"/>
        <v>2</v>
      </c>
      <c r="P592" s="29">
        <f t="shared" si="19"/>
        <v>1.2738853503184714E-2</v>
      </c>
    </row>
    <row r="593" spans="1:16" x14ac:dyDescent="0.35">
      <c r="A593" s="2" t="s">
        <v>43</v>
      </c>
      <c r="B593" s="2" t="s">
        <v>44</v>
      </c>
      <c r="C593" s="2" t="s">
        <v>11</v>
      </c>
      <c r="D593" s="2" t="s">
        <v>27</v>
      </c>
      <c r="E593" s="2">
        <v>170</v>
      </c>
      <c r="F593" s="2">
        <v>171</v>
      </c>
      <c r="G593" s="2">
        <v>186</v>
      </c>
      <c r="H593" s="2">
        <v>0</v>
      </c>
      <c r="I593" s="2">
        <v>0</v>
      </c>
      <c r="J593" s="2">
        <f>ABS(F593-E593)</f>
        <v>1</v>
      </c>
      <c r="K593" s="29">
        <f>J593/E593</f>
        <v>5.8823529411764705E-3</v>
      </c>
      <c r="L593" s="2">
        <f>ABS(G593-E593)</f>
        <v>16</v>
      </c>
      <c r="M593" s="50">
        <f>(L593/E593)</f>
        <v>9.4117647058823528E-2</v>
      </c>
      <c r="N593" s="2">
        <v>171</v>
      </c>
      <c r="O593" s="11">
        <f t="shared" si="18"/>
        <v>1</v>
      </c>
      <c r="P593" s="29">
        <f t="shared" si="19"/>
        <v>5.8823529411764705E-3</v>
      </c>
    </row>
    <row r="594" spans="1:16" x14ac:dyDescent="0.35">
      <c r="A594" s="2" t="s">
        <v>43</v>
      </c>
      <c r="B594" s="2" t="s">
        <v>44</v>
      </c>
      <c r="C594" s="2" t="s">
        <v>11</v>
      </c>
      <c r="D594" s="2" t="s">
        <v>28</v>
      </c>
      <c r="E594" s="2">
        <v>160</v>
      </c>
      <c r="F594" s="2">
        <v>153</v>
      </c>
      <c r="G594" s="2">
        <v>155</v>
      </c>
      <c r="H594" s="2">
        <v>0</v>
      </c>
      <c r="I594" s="2">
        <v>0</v>
      </c>
      <c r="J594" s="2">
        <f>ABS(F594-E594)</f>
        <v>7</v>
      </c>
      <c r="K594" s="29">
        <f>J594/E594</f>
        <v>4.3749999999999997E-2</v>
      </c>
      <c r="L594" s="2">
        <f>ABS(G594-E594)</f>
        <v>5</v>
      </c>
      <c r="M594" s="50">
        <f>(L594/E594)</f>
        <v>3.125E-2</v>
      </c>
      <c r="N594" s="2">
        <v>159</v>
      </c>
      <c r="O594" s="11">
        <f t="shared" si="18"/>
        <v>1</v>
      </c>
      <c r="P594" s="29">
        <f t="shared" si="19"/>
        <v>6.2500000000000003E-3</v>
      </c>
    </row>
    <row r="595" spans="1:16" x14ac:dyDescent="0.35">
      <c r="A595" s="2" t="s">
        <v>43</v>
      </c>
      <c r="B595" s="2" t="s">
        <v>44</v>
      </c>
      <c r="C595" s="2" t="s">
        <v>11</v>
      </c>
      <c r="D595" s="2" t="s">
        <v>29</v>
      </c>
      <c r="E595" s="2">
        <v>143</v>
      </c>
      <c r="F595" s="2">
        <v>137</v>
      </c>
      <c r="G595" s="2">
        <v>138</v>
      </c>
      <c r="H595" s="2">
        <v>0</v>
      </c>
      <c r="I595" s="2">
        <v>0</v>
      </c>
      <c r="J595" s="2">
        <f>ABS(F595-E595)</f>
        <v>6</v>
      </c>
      <c r="K595" s="29">
        <f>J595/E595</f>
        <v>4.195804195804196E-2</v>
      </c>
      <c r="L595" s="2">
        <f>ABS(G595-E595)</f>
        <v>5</v>
      </c>
      <c r="M595" s="50">
        <f>(L595/E595)</f>
        <v>3.4965034965034968E-2</v>
      </c>
      <c r="N595" s="2">
        <v>147</v>
      </c>
      <c r="O595" s="11">
        <f t="shared" si="18"/>
        <v>4</v>
      </c>
      <c r="P595" s="29">
        <f t="shared" si="19"/>
        <v>2.7972027972027972E-2</v>
      </c>
    </row>
    <row r="596" spans="1:16" x14ac:dyDescent="0.35">
      <c r="A596" s="2" t="s">
        <v>43</v>
      </c>
      <c r="B596" s="2" t="s">
        <v>44</v>
      </c>
      <c r="C596" s="2" t="s">
        <v>11</v>
      </c>
      <c r="D596" s="2" t="s">
        <v>30</v>
      </c>
      <c r="E596" s="2">
        <v>122</v>
      </c>
      <c r="F596" s="2">
        <v>109</v>
      </c>
      <c r="G596" s="2">
        <v>123</v>
      </c>
      <c r="H596" s="2">
        <v>1</v>
      </c>
      <c r="I596" s="2">
        <v>0</v>
      </c>
      <c r="J596" s="2">
        <f>ABS(F596-E596)</f>
        <v>13</v>
      </c>
      <c r="K596" s="29">
        <f>J596/E596</f>
        <v>0.10655737704918032</v>
      </c>
      <c r="L596" s="2">
        <f>ABS(G596-E596)</f>
        <v>1</v>
      </c>
      <c r="M596" s="50">
        <f>(L596/E596)</f>
        <v>8.1967213114754103E-3</v>
      </c>
      <c r="N596" s="2">
        <v>122</v>
      </c>
      <c r="O596" s="11">
        <f t="shared" si="18"/>
        <v>0</v>
      </c>
      <c r="P596" s="29">
        <f t="shared" si="19"/>
        <v>0</v>
      </c>
    </row>
    <row r="597" spans="1:16" x14ac:dyDescent="0.35">
      <c r="A597" s="2" t="s">
        <v>43</v>
      </c>
      <c r="B597" s="2" t="s">
        <v>44</v>
      </c>
      <c r="C597" s="2" t="s">
        <v>11</v>
      </c>
      <c r="D597" s="2" t="s">
        <v>31</v>
      </c>
      <c r="E597" s="2">
        <v>123</v>
      </c>
      <c r="F597" s="2">
        <v>147</v>
      </c>
      <c r="G597" s="2">
        <v>114</v>
      </c>
      <c r="H597" s="2">
        <v>0</v>
      </c>
      <c r="I597" s="2">
        <v>0</v>
      </c>
      <c r="J597" s="2">
        <f>ABS(F597-E597)</f>
        <v>24</v>
      </c>
      <c r="K597" s="29">
        <f>J597/E597</f>
        <v>0.1951219512195122</v>
      </c>
      <c r="L597" s="2">
        <f>ABS(G597-E597)</f>
        <v>9</v>
      </c>
      <c r="M597" s="50">
        <f>(L597/E597)</f>
        <v>7.3170731707317069E-2</v>
      </c>
      <c r="N597" s="2">
        <v>133</v>
      </c>
      <c r="O597" s="11">
        <f t="shared" si="18"/>
        <v>10</v>
      </c>
      <c r="P597" s="29">
        <f t="shared" si="19"/>
        <v>8.1300813008130079E-2</v>
      </c>
    </row>
    <row r="598" spans="1:16" x14ac:dyDescent="0.35">
      <c r="A598" s="2" t="s">
        <v>43</v>
      </c>
      <c r="B598" s="2" t="s">
        <v>44</v>
      </c>
      <c r="C598" s="2" t="s">
        <v>11</v>
      </c>
      <c r="D598" s="2" t="s">
        <v>32</v>
      </c>
      <c r="E598" s="2">
        <v>105</v>
      </c>
      <c r="F598" s="2">
        <v>101</v>
      </c>
      <c r="G598" s="2">
        <v>108</v>
      </c>
      <c r="H598" s="2">
        <v>1</v>
      </c>
      <c r="I598" s="2">
        <v>0</v>
      </c>
      <c r="J598" s="2">
        <f>ABS(F598-E598)</f>
        <v>4</v>
      </c>
      <c r="K598" s="29">
        <f>J598/E598</f>
        <v>3.8095238095238099E-2</v>
      </c>
      <c r="L598" s="2">
        <f>ABS(G598-E598)</f>
        <v>3</v>
      </c>
      <c r="M598" s="50">
        <f>(L598/E598)</f>
        <v>2.8571428571428571E-2</v>
      </c>
      <c r="N598" s="2">
        <v>108</v>
      </c>
      <c r="O598" s="11">
        <f t="shared" si="18"/>
        <v>3</v>
      </c>
      <c r="P598" s="29">
        <f t="shared" si="19"/>
        <v>2.8571428571428571E-2</v>
      </c>
    </row>
    <row r="599" spans="1:16" x14ac:dyDescent="0.35">
      <c r="A599" s="2" t="s">
        <v>43</v>
      </c>
      <c r="B599" s="2" t="s">
        <v>44</v>
      </c>
      <c r="C599" s="2" t="s">
        <v>11</v>
      </c>
      <c r="D599" s="2" t="s">
        <v>33</v>
      </c>
      <c r="E599" s="2">
        <v>84</v>
      </c>
      <c r="F599" s="2">
        <v>78</v>
      </c>
      <c r="G599" s="2">
        <v>84</v>
      </c>
      <c r="H599" s="2">
        <v>0</v>
      </c>
      <c r="I599" s="2">
        <v>0</v>
      </c>
      <c r="J599" s="2">
        <f>ABS(F599-E599)</f>
        <v>6</v>
      </c>
      <c r="K599" s="29">
        <f>J599/E599</f>
        <v>7.1428571428571425E-2</v>
      </c>
      <c r="L599" s="2">
        <f>ABS(G599-E599)</f>
        <v>0</v>
      </c>
      <c r="M599" s="50">
        <f>(L599/E599)</f>
        <v>0</v>
      </c>
      <c r="N599" s="2">
        <v>84</v>
      </c>
      <c r="O599" s="11">
        <f t="shared" si="18"/>
        <v>0</v>
      </c>
      <c r="P599" s="29">
        <f t="shared" si="19"/>
        <v>0</v>
      </c>
    </row>
    <row r="600" spans="1:16" x14ac:dyDescent="0.35">
      <c r="A600" s="2" t="s">
        <v>43</v>
      </c>
      <c r="B600" s="2" t="s">
        <v>44</v>
      </c>
      <c r="C600" s="2" t="s">
        <v>11</v>
      </c>
      <c r="D600" s="2" t="s">
        <v>34</v>
      </c>
      <c r="E600" s="2">
        <v>62</v>
      </c>
      <c r="F600" s="2">
        <v>47</v>
      </c>
      <c r="G600" s="2">
        <v>65</v>
      </c>
      <c r="H600" s="2">
        <v>1</v>
      </c>
      <c r="I600" s="2">
        <v>1</v>
      </c>
      <c r="J600" s="2">
        <f>ABS(F600-E600)</f>
        <v>15</v>
      </c>
      <c r="K600" s="29">
        <f>J600/E600</f>
        <v>0.24193548387096775</v>
      </c>
      <c r="L600" s="2">
        <f>ABS(G600-E600)</f>
        <v>3</v>
      </c>
      <c r="M600" s="50">
        <f>(L600/E600)</f>
        <v>4.8387096774193547E-2</v>
      </c>
      <c r="N600" s="2">
        <v>54</v>
      </c>
      <c r="O600" s="11">
        <f t="shared" si="18"/>
        <v>8</v>
      </c>
      <c r="P600" s="29">
        <f t="shared" si="19"/>
        <v>0.12903225806451613</v>
      </c>
    </row>
    <row r="601" spans="1:16" x14ac:dyDescent="0.35">
      <c r="A601" s="2" t="s">
        <v>43</v>
      </c>
      <c r="B601" s="2" t="s">
        <v>44</v>
      </c>
      <c r="C601" s="2" t="s">
        <v>11</v>
      </c>
      <c r="D601" s="2" t="s">
        <v>35</v>
      </c>
      <c r="E601" s="2">
        <v>128</v>
      </c>
      <c r="F601" s="2">
        <v>126</v>
      </c>
      <c r="G601" s="2">
        <v>135</v>
      </c>
      <c r="H601" s="2">
        <v>0</v>
      </c>
      <c r="I601" s="2">
        <v>0</v>
      </c>
      <c r="J601" s="2">
        <f>ABS(F601-E601)</f>
        <v>2</v>
      </c>
      <c r="K601" s="29">
        <f>J601/E601</f>
        <v>1.5625E-2</v>
      </c>
      <c r="L601" s="2">
        <f>ABS(G601-E601)</f>
        <v>7</v>
      </c>
      <c r="M601" s="50">
        <f>(L601/E601)</f>
        <v>5.46875E-2</v>
      </c>
      <c r="N601" s="2">
        <v>117</v>
      </c>
      <c r="O601" s="11">
        <f t="shared" si="18"/>
        <v>11</v>
      </c>
      <c r="P601" s="29">
        <f t="shared" si="19"/>
        <v>8.59375E-2</v>
      </c>
    </row>
    <row r="602" spans="1:16" x14ac:dyDescent="0.35">
      <c r="A602" s="2" t="s">
        <v>43</v>
      </c>
      <c r="B602" s="2" t="s">
        <v>44</v>
      </c>
      <c r="C602" s="2" t="s">
        <v>36</v>
      </c>
      <c r="D602" s="2" t="s">
        <v>12</v>
      </c>
      <c r="E602" s="2">
        <v>161</v>
      </c>
      <c r="F602" s="2">
        <v>174</v>
      </c>
      <c r="G602" s="2">
        <v>160</v>
      </c>
      <c r="H602" s="2">
        <v>0</v>
      </c>
      <c r="I602" s="2">
        <v>0</v>
      </c>
      <c r="J602" s="2">
        <f>ABS(F602-E602)</f>
        <v>13</v>
      </c>
      <c r="K602" s="29">
        <f>J602/E602</f>
        <v>8.0745341614906832E-2</v>
      </c>
      <c r="L602" s="2">
        <f>ABS(G602-E602)</f>
        <v>1</v>
      </c>
      <c r="M602" s="50">
        <f>(L602/E602)</f>
        <v>6.2111801242236021E-3</v>
      </c>
      <c r="N602" s="2">
        <v>177</v>
      </c>
      <c r="O602" s="11">
        <f t="shared" si="18"/>
        <v>16</v>
      </c>
      <c r="P602" s="29">
        <f t="shared" si="19"/>
        <v>9.9378881987577633E-2</v>
      </c>
    </row>
    <row r="603" spans="1:16" x14ac:dyDescent="0.35">
      <c r="A603" s="2" t="s">
        <v>43</v>
      </c>
      <c r="B603" s="2" t="s">
        <v>44</v>
      </c>
      <c r="C603" s="2" t="s">
        <v>36</v>
      </c>
      <c r="D603" s="2" t="s">
        <v>13</v>
      </c>
      <c r="E603" s="2">
        <v>190</v>
      </c>
      <c r="F603" s="2">
        <v>173</v>
      </c>
      <c r="G603" s="2">
        <v>181</v>
      </c>
      <c r="H603" s="2">
        <v>1</v>
      </c>
      <c r="I603" s="2">
        <v>0</v>
      </c>
      <c r="J603" s="2">
        <f>ABS(F603-E603)</f>
        <v>17</v>
      </c>
      <c r="K603" s="29">
        <f>J603/E603</f>
        <v>8.9473684210526316E-2</v>
      </c>
      <c r="L603" s="2">
        <f>ABS(G603-E603)</f>
        <v>9</v>
      </c>
      <c r="M603" s="50">
        <f>(L603/E603)</f>
        <v>4.736842105263158E-2</v>
      </c>
      <c r="N603" s="2">
        <v>186</v>
      </c>
      <c r="O603" s="11">
        <f t="shared" si="18"/>
        <v>4</v>
      </c>
      <c r="P603" s="29">
        <f t="shared" si="19"/>
        <v>2.1052631578947368E-2</v>
      </c>
    </row>
    <row r="604" spans="1:16" x14ac:dyDescent="0.35">
      <c r="A604" s="2" t="s">
        <v>43</v>
      </c>
      <c r="B604" s="2" t="s">
        <v>44</v>
      </c>
      <c r="C604" s="2" t="s">
        <v>36</v>
      </c>
      <c r="D604" s="2" t="s">
        <v>14</v>
      </c>
      <c r="E604" s="2">
        <v>198</v>
      </c>
      <c r="F604" s="2">
        <v>211</v>
      </c>
      <c r="G604" s="2">
        <v>184</v>
      </c>
      <c r="H604" s="2">
        <v>0</v>
      </c>
      <c r="I604" s="2">
        <v>0</v>
      </c>
      <c r="J604" s="2">
        <f>ABS(F604-E604)</f>
        <v>13</v>
      </c>
      <c r="K604" s="29">
        <f>J604/E604</f>
        <v>6.5656565656565663E-2</v>
      </c>
      <c r="L604" s="2">
        <f>ABS(G604-E604)</f>
        <v>14</v>
      </c>
      <c r="M604" s="50">
        <f>(L604/E604)</f>
        <v>7.0707070707070704E-2</v>
      </c>
      <c r="N604" s="2">
        <v>209</v>
      </c>
      <c r="O604" s="11">
        <f t="shared" si="18"/>
        <v>11</v>
      </c>
      <c r="P604" s="29">
        <f t="shared" si="19"/>
        <v>5.5555555555555552E-2</v>
      </c>
    </row>
    <row r="605" spans="1:16" x14ac:dyDescent="0.35">
      <c r="A605" s="2" t="s">
        <v>43</v>
      </c>
      <c r="B605" s="2" t="s">
        <v>44</v>
      </c>
      <c r="C605" s="2" t="s">
        <v>36</v>
      </c>
      <c r="D605" s="2" t="s">
        <v>15</v>
      </c>
      <c r="E605" s="2">
        <v>165</v>
      </c>
      <c r="F605" s="2">
        <v>177</v>
      </c>
      <c r="G605" s="2">
        <v>166</v>
      </c>
      <c r="H605" s="2">
        <v>0</v>
      </c>
      <c r="I605" s="2">
        <v>0</v>
      </c>
      <c r="J605" s="2">
        <f>ABS(F605-E605)</f>
        <v>12</v>
      </c>
      <c r="K605" s="29">
        <f>J605/E605</f>
        <v>7.2727272727272724E-2</v>
      </c>
      <c r="L605" s="2">
        <f>ABS(G605-E605)</f>
        <v>1</v>
      </c>
      <c r="M605" s="50">
        <f>(L605/E605)</f>
        <v>6.0606060606060606E-3</v>
      </c>
      <c r="N605" s="2">
        <v>187</v>
      </c>
      <c r="O605" s="11">
        <f t="shared" si="18"/>
        <v>22</v>
      </c>
      <c r="P605" s="29">
        <f t="shared" si="19"/>
        <v>0.13333333333333333</v>
      </c>
    </row>
    <row r="606" spans="1:16" x14ac:dyDescent="0.35">
      <c r="A606" s="2" t="s">
        <v>43</v>
      </c>
      <c r="B606" s="2" t="s">
        <v>44</v>
      </c>
      <c r="C606" s="2" t="s">
        <v>36</v>
      </c>
      <c r="D606" s="2" t="s">
        <v>16</v>
      </c>
      <c r="E606" s="2">
        <v>181</v>
      </c>
      <c r="F606" s="2">
        <v>201</v>
      </c>
      <c r="G606" s="2">
        <v>169</v>
      </c>
      <c r="H606" s="2">
        <v>0</v>
      </c>
      <c r="I606" s="2">
        <v>0</v>
      </c>
      <c r="J606" s="2">
        <f>ABS(F606-E606)</f>
        <v>20</v>
      </c>
      <c r="K606" s="29">
        <f>J606/E606</f>
        <v>0.11049723756906077</v>
      </c>
      <c r="L606" s="2">
        <f>ABS(G606-E606)</f>
        <v>12</v>
      </c>
      <c r="M606" s="50">
        <f>(L606/E606)</f>
        <v>6.6298342541436461E-2</v>
      </c>
      <c r="N606" s="2">
        <v>183</v>
      </c>
      <c r="O606" s="11">
        <f t="shared" si="18"/>
        <v>2</v>
      </c>
      <c r="P606" s="29">
        <f t="shared" si="19"/>
        <v>1.1049723756906077E-2</v>
      </c>
    </row>
    <row r="607" spans="1:16" x14ac:dyDescent="0.35">
      <c r="A607" s="2" t="s">
        <v>43</v>
      </c>
      <c r="B607" s="2" t="s">
        <v>44</v>
      </c>
      <c r="C607" s="2" t="s">
        <v>36</v>
      </c>
      <c r="D607" s="2" t="s">
        <v>17</v>
      </c>
      <c r="E607" s="2">
        <v>167</v>
      </c>
      <c r="F607" s="2">
        <v>197</v>
      </c>
      <c r="G607" s="2">
        <v>163</v>
      </c>
      <c r="H607" s="2">
        <v>0</v>
      </c>
      <c r="I607" s="2">
        <v>0</v>
      </c>
      <c r="J607" s="2">
        <f>ABS(F607-E607)</f>
        <v>30</v>
      </c>
      <c r="K607" s="29">
        <f>J607/E607</f>
        <v>0.17964071856287425</v>
      </c>
      <c r="L607" s="2">
        <f>ABS(G607-E607)</f>
        <v>4</v>
      </c>
      <c r="M607" s="50">
        <f>(L607/E607)</f>
        <v>2.3952095808383235E-2</v>
      </c>
      <c r="N607" s="2">
        <v>172</v>
      </c>
      <c r="O607" s="11">
        <f t="shared" si="18"/>
        <v>5</v>
      </c>
      <c r="P607" s="29">
        <f t="shared" si="19"/>
        <v>2.9940119760479042E-2</v>
      </c>
    </row>
    <row r="608" spans="1:16" x14ac:dyDescent="0.35">
      <c r="A608" s="2" t="s">
        <v>43</v>
      </c>
      <c r="B608" s="2" t="s">
        <v>44</v>
      </c>
      <c r="C608" s="2" t="s">
        <v>36</v>
      </c>
      <c r="D608" s="2" t="s">
        <v>18</v>
      </c>
      <c r="E608" s="2">
        <v>178</v>
      </c>
      <c r="F608" s="2">
        <v>192</v>
      </c>
      <c r="G608" s="2">
        <v>183</v>
      </c>
      <c r="H608" s="2">
        <v>0</v>
      </c>
      <c r="I608" s="2">
        <v>0</v>
      </c>
      <c r="J608" s="2">
        <f>ABS(F608-E608)</f>
        <v>14</v>
      </c>
      <c r="K608" s="29">
        <f>J608/E608</f>
        <v>7.8651685393258425E-2</v>
      </c>
      <c r="L608" s="2">
        <f>ABS(G608-E608)</f>
        <v>5</v>
      </c>
      <c r="M608" s="50">
        <f>(L608/E608)</f>
        <v>2.8089887640449437E-2</v>
      </c>
      <c r="N608" s="2">
        <v>171</v>
      </c>
      <c r="O608" s="11">
        <f t="shared" si="18"/>
        <v>7</v>
      </c>
      <c r="P608" s="29">
        <f t="shared" si="19"/>
        <v>3.9325842696629212E-2</v>
      </c>
    </row>
    <row r="609" spans="1:16" x14ac:dyDescent="0.35">
      <c r="A609" s="2" t="s">
        <v>43</v>
      </c>
      <c r="B609" s="2" t="s">
        <v>44</v>
      </c>
      <c r="C609" s="2" t="s">
        <v>36</v>
      </c>
      <c r="D609" s="2" t="s">
        <v>19</v>
      </c>
      <c r="E609" s="2">
        <v>129</v>
      </c>
      <c r="F609" s="2">
        <v>142</v>
      </c>
      <c r="G609" s="2">
        <v>126</v>
      </c>
      <c r="H609" s="2">
        <v>0</v>
      </c>
      <c r="I609" s="2">
        <v>0</v>
      </c>
      <c r="J609" s="2">
        <f>ABS(F609-E609)</f>
        <v>13</v>
      </c>
      <c r="K609" s="29">
        <f>J609/E609</f>
        <v>0.10077519379844961</v>
      </c>
      <c r="L609" s="2">
        <f>ABS(G609-E609)</f>
        <v>3</v>
      </c>
      <c r="M609" s="50">
        <f>(L609/E609)</f>
        <v>2.3255813953488372E-2</v>
      </c>
      <c r="N609" s="2">
        <v>134</v>
      </c>
      <c r="O609" s="11">
        <f t="shared" si="18"/>
        <v>5</v>
      </c>
      <c r="P609" s="29">
        <f t="shared" si="19"/>
        <v>3.875968992248062E-2</v>
      </c>
    </row>
    <row r="610" spans="1:16" x14ac:dyDescent="0.35">
      <c r="A610" s="2" t="s">
        <v>43</v>
      </c>
      <c r="B610" s="2" t="s">
        <v>44</v>
      </c>
      <c r="C610" s="2" t="s">
        <v>36</v>
      </c>
      <c r="D610" s="2" t="s">
        <v>20</v>
      </c>
      <c r="E610" s="2">
        <v>120</v>
      </c>
      <c r="F610" s="2">
        <v>141</v>
      </c>
      <c r="G610" s="2">
        <v>126</v>
      </c>
      <c r="H610" s="2">
        <v>0</v>
      </c>
      <c r="I610" s="2">
        <v>0</v>
      </c>
      <c r="J610" s="2">
        <f>ABS(F610-E610)</f>
        <v>21</v>
      </c>
      <c r="K610" s="29">
        <f>J610/E610</f>
        <v>0.17499999999999999</v>
      </c>
      <c r="L610" s="2">
        <f>ABS(G610-E610)</f>
        <v>6</v>
      </c>
      <c r="M610" s="50">
        <f>(L610/E610)</f>
        <v>0.05</v>
      </c>
      <c r="N610" s="2">
        <v>129</v>
      </c>
      <c r="O610" s="11">
        <f t="shared" si="18"/>
        <v>9</v>
      </c>
      <c r="P610" s="29">
        <f t="shared" si="19"/>
        <v>7.4999999999999997E-2</v>
      </c>
    </row>
    <row r="611" spans="1:16" x14ac:dyDescent="0.35">
      <c r="A611" s="2" t="s">
        <v>43</v>
      </c>
      <c r="B611" s="2" t="s">
        <v>44</v>
      </c>
      <c r="C611" s="2" t="s">
        <v>36</v>
      </c>
      <c r="D611" s="2" t="s">
        <v>21</v>
      </c>
      <c r="E611" s="2">
        <v>127</v>
      </c>
      <c r="F611" s="2">
        <v>137</v>
      </c>
      <c r="G611" s="2">
        <v>126</v>
      </c>
      <c r="H611" s="2">
        <v>0</v>
      </c>
      <c r="I611" s="2">
        <v>0</v>
      </c>
      <c r="J611" s="2">
        <f>ABS(F611-E611)</f>
        <v>10</v>
      </c>
      <c r="K611" s="29">
        <f>J611/E611</f>
        <v>7.874015748031496E-2</v>
      </c>
      <c r="L611" s="2">
        <f>ABS(G611-E611)</f>
        <v>1</v>
      </c>
      <c r="M611" s="50">
        <f>(L611/E611)</f>
        <v>7.874015748031496E-3</v>
      </c>
      <c r="N611" s="2">
        <v>128</v>
      </c>
      <c r="O611" s="11">
        <f t="shared" si="18"/>
        <v>1</v>
      </c>
      <c r="P611" s="29">
        <f t="shared" si="19"/>
        <v>7.874015748031496E-3</v>
      </c>
    </row>
    <row r="612" spans="1:16" x14ac:dyDescent="0.35">
      <c r="A612" s="2" t="s">
        <v>43</v>
      </c>
      <c r="B612" s="2" t="s">
        <v>44</v>
      </c>
      <c r="C612" s="2" t="s">
        <v>36</v>
      </c>
      <c r="D612" s="2" t="s">
        <v>22</v>
      </c>
      <c r="E612" s="2">
        <v>76</v>
      </c>
      <c r="F612" s="2">
        <v>73</v>
      </c>
      <c r="G612" s="2">
        <v>69</v>
      </c>
      <c r="H612" s="2">
        <v>0</v>
      </c>
      <c r="I612" s="2">
        <v>1</v>
      </c>
      <c r="J612" s="2">
        <f>ABS(F612-E612)</f>
        <v>3</v>
      </c>
      <c r="K612" s="29">
        <f>J612/E612</f>
        <v>3.9473684210526314E-2</v>
      </c>
      <c r="L612" s="2">
        <f>ABS(G612-E612)</f>
        <v>7</v>
      </c>
      <c r="M612" s="50">
        <f>(L612/E612)</f>
        <v>9.2105263157894732E-2</v>
      </c>
      <c r="N612" s="2">
        <v>72</v>
      </c>
      <c r="O612" s="11">
        <f t="shared" si="18"/>
        <v>4</v>
      </c>
      <c r="P612" s="29">
        <f t="shared" si="19"/>
        <v>5.2631578947368418E-2</v>
      </c>
    </row>
    <row r="613" spans="1:16" x14ac:dyDescent="0.35">
      <c r="A613" s="2" t="s">
        <v>43</v>
      </c>
      <c r="B613" s="2" t="s">
        <v>44</v>
      </c>
      <c r="C613" s="2" t="s">
        <v>36</v>
      </c>
      <c r="D613" s="2" t="s">
        <v>23</v>
      </c>
      <c r="E613" s="2">
        <v>183</v>
      </c>
      <c r="F613" s="2">
        <v>202</v>
      </c>
      <c r="G613" s="2">
        <v>197</v>
      </c>
      <c r="H613" s="2">
        <v>0</v>
      </c>
      <c r="I613" s="2">
        <v>0</v>
      </c>
      <c r="J613" s="2">
        <f>ABS(F613-E613)</f>
        <v>19</v>
      </c>
      <c r="K613" s="29">
        <f>J613/E613</f>
        <v>0.10382513661202186</v>
      </c>
      <c r="L613" s="2">
        <f>ABS(G613-E613)</f>
        <v>14</v>
      </c>
      <c r="M613" s="50">
        <f>(L613/E613)</f>
        <v>7.650273224043716E-2</v>
      </c>
      <c r="N613" s="2">
        <v>178</v>
      </c>
      <c r="O613" s="11">
        <f t="shared" si="18"/>
        <v>5</v>
      </c>
      <c r="P613" s="29">
        <f t="shared" si="19"/>
        <v>2.7322404371584699E-2</v>
      </c>
    </row>
    <row r="614" spans="1:16" x14ac:dyDescent="0.35">
      <c r="A614" s="2" t="s">
        <v>43</v>
      </c>
      <c r="B614" s="2" t="s">
        <v>44</v>
      </c>
      <c r="C614" s="2" t="s">
        <v>36</v>
      </c>
      <c r="D614" s="2" t="s">
        <v>24</v>
      </c>
      <c r="E614" s="2">
        <v>171</v>
      </c>
      <c r="F614" s="2">
        <v>183</v>
      </c>
      <c r="G614" s="2">
        <v>163</v>
      </c>
      <c r="H614" s="2">
        <v>0</v>
      </c>
      <c r="I614" s="2">
        <v>0</v>
      </c>
      <c r="J614" s="2">
        <f>ABS(F614-E614)</f>
        <v>12</v>
      </c>
      <c r="K614" s="29">
        <f>J614/E614</f>
        <v>7.0175438596491224E-2</v>
      </c>
      <c r="L614" s="2">
        <f>ABS(G614-E614)</f>
        <v>8</v>
      </c>
      <c r="M614" s="50">
        <f>(L614/E614)</f>
        <v>4.6783625730994149E-2</v>
      </c>
      <c r="N614" s="2">
        <v>181</v>
      </c>
      <c r="O614" s="11">
        <f t="shared" si="18"/>
        <v>10</v>
      </c>
      <c r="P614" s="29">
        <f t="shared" si="19"/>
        <v>5.8479532163742687E-2</v>
      </c>
    </row>
    <row r="615" spans="1:16" x14ac:dyDescent="0.35">
      <c r="A615" s="2" t="s">
        <v>43</v>
      </c>
      <c r="B615" s="2" t="s">
        <v>44</v>
      </c>
      <c r="C615" s="2" t="s">
        <v>36</v>
      </c>
      <c r="D615" s="2" t="s">
        <v>25</v>
      </c>
      <c r="E615" s="2">
        <v>194</v>
      </c>
      <c r="F615" s="2">
        <v>206</v>
      </c>
      <c r="G615" s="2">
        <v>175</v>
      </c>
      <c r="H615" s="2">
        <v>1</v>
      </c>
      <c r="I615" s="2">
        <v>0</v>
      </c>
      <c r="J615" s="2">
        <f>ABS(F615-E615)</f>
        <v>12</v>
      </c>
      <c r="K615" s="29">
        <f>J615/E615</f>
        <v>6.1855670103092786E-2</v>
      </c>
      <c r="L615" s="2">
        <f>ABS(G615-E615)</f>
        <v>19</v>
      </c>
      <c r="M615" s="50">
        <f>(L615/E615)</f>
        <v>9.7938144329896906E-2</v>
      </c>
      <c r="N615" s="2">
        <v>196</v>
      </c>
      <c r="O615" s="11">
        <f t="shared" si="18"/>
        <v>2</v>
      </c>
      <c r="P615" s="29">
        <f t="shared" si="19"/>
        <v>1.0309278350515464E-2</v>
      </c>
    </row>
    <row r="616" spans="1:16" x14ac:dyDescent="0.35">
      <c r="A616" s="2" t="s">
        <v>43</v>
      </c>
      <c r="B616" s="2" t="s">
        <v>44</v>
      </c>
      <c r="C616" s="2" t="s">
        <v>36</v>
      </c>
      <c r="D616" s="2" t="s">
        <v>26</v>
      </c>
      <c r="E616" s="2">
        <v>239</v>
      </c>
      <c r="F616" s="2">
        <v>229</v>
      </c>
      <c r="G616" s="2">
        <v>236</v>
      </c>
      <c r="H616" s="2">
        <v>0</v>
      </c>
      <c r="I616" s="2">
        <v>0</v>
      </c>
      <c r="J616" s="2">
        <f>ABS(F616-E616)</f>
        <v>10</v>
      </c>
      <c r="K616" s="29">
        <f>J616/E616</f>
        <v>4.1841004184100417E-2</v>
      </c>
      <c r="L616" s="2">
        <f>ABS(G616-E616)</f>
        <v>3</v>
      </c>
      <c r="M616" s="50">
        <f>(L616/E616)</f>
        <v>1.2552301255230125E-2</v>
      </c>
      <c r="N616" s="2">
        <v>216</v>
      </c>
      <c r="O616" s="11">
        <f t="shared" si="18"/>
        <v>23</v>
      </c>
      <c r="P616" s="29">
        <f t="shared" si="19"/>
        <v>9.6234309623430964E-2</v>
      </c>
    </row>
    <row r="617" spans="1:16" x14ac:dyDescent="0.35">
      <c r="A617" s="2" t="s">
        <v>43</v>
      </c>
      <c r="B617" s="2" t="s">
        <v>44</v>
      </c>
      <c r="C617" s="2" t="s">
        <v>36</v>
      </c>
      <c r="D617" s="2" t="s">
        <v>27</v>
      </c>
      <c r="E617" s="2">
        <v>206</v>
      </c>
      <c r="F617" s="2">
        <v>175</v>
      </c>
      <c r="G617" s="2">
        <v>188</v>
      </c>
      <c r="H617" s="2">
        <v>0</v>
      </c>
      <c r="I617" s="2">
        <v>0</v>
      </c>
      <c r="J617" s="2">
        <f>ABS(F617-E617)</f>
        <v>31</v>
      </c>
      <c r="K617" s="29">
        <f>J617/E617</f>
        <v>0.15048543689320387</v>
      </c>
      <c r="L617" s="2">
        <f>ABS(G617-E617)</f>
        <v>18</v>
      </c>
      <c r="M617" s="50">
        <f>(L617/E617)</f>
        <v>8.7378640776699032E-2</v>
      </c>
      <c r="N617" s="2">
        <v>193</v>
      </c>
      <c r="O617" s="11">
        <f t="shared" si="18"/>
        <v>13</v>
      </c>
      <c r="P617" s="29">
        <f t="shared" si="19"/>
        <v>6.3106796116504854E-2</v>
      </c>
    </row>
    <row r="618" spans="1:16" x14ac:dyDescent="0.35">
      <c r="A618" s="2" t="s">
        <v>43</v>
      </c>
      <c r="B618" s="2" t="s">
        <v>44</v>
      </c>
      <c r="C618" s="2" t="s">
        <v>36</v>
      </c>
      <c r="D618" s="2" t="s">
        <v>28</v>
      </c>
      <c r="E618" s="2">
        <v>179</v>
      </c>
      <c r="F618" s="2">
        <v>217</v>
      </c>
      <c r="G618" s="2">
        <v>169</v>
      </c>
      <c r="H618" s="2">
        <v>0</v>
      </c>
      <c r="I618" s="2">
        <v>0</v>
      </c>
      <c r="J618" s="2">
        <f>ABS(F618-E618)</f>
        <v>38</v>
      </c>
      <c r="K618" s="29">
        <f>J618/E618</f>
        <v>0.21229050279329609</v>
      </c>
      <c r="L618" s="2">
        <f>ABS(G618-E618)</f>
        <v>10</v>
      </c>
      <c r="M618" s="50">
        <f>(L618/E618)</f>
        <v>5.5865921787709494E-2</v>
      </c>
      <c r="N618" s="2">
        <v>199</v>
      </c>
      <c r="O618" s="11">
        <f t="shared" si="18"/>
        <v>20</v>
      </c>
      <c r="P618" s="29">
        <f t="shared" si="19"/>
        <v>0.11173184357541899</v>
      </c>
    </row>
    <row r="619" spans="1:16" x14ac:dyDescent="0.35">
      <c r="A619" s="2" t="s">
        <v>43</v>
      </c>
      <c r="B619" s="2" t="s">
        <v>44</v>
      </c>
      <c r="C619" s="2" t="s">
        <v>36</v>
      </c>
      <c r="D619" s="2" t="s">
        <v>29</v>
      </c>
      <c r="E619" s="2">
        <v>151</v>
      </c>
      <c r="F619" s="2">
        <v>173</v>
      </c>
      <c r="G619" s="2">
        <v>144</v>
      </c>
      <c r="H619" s="2">
        <v>0</v>
      </c>
      <c r="I619" s="2">
        <v>0</v>
      </c>
      <c r="J619" s="2">
        <f>ABS(F619-E619)</f>
        <v>22</v>
      </c>
      <c r="K619" s="29">
        <f>J619/E619</f>
        <v>0.14569536423841059</v>
      </c>
      <c r="L619" s="2">
        <f>ABS(G619-E619)</f>
        <v>7</v>
      </c>
      <c r="M619" s="50">
        <f>(L619/E619)</f>
        <v>4.6357615894039736E-2</v>
      </c>
      <c r="N619" s="2">
        <v>167</v>
      </c>
      <c r="O619" s="11">
        <f t="shared" si="18"/>
        <v>16</v>
      </c>
      <c r="P619" s="29">
        <f t="shared" si="19"/>
        <v>0.10596026490066225</v>
      </c>
    </row>
    <row r="620" spans="1:16" x14ac:dyDescent="0.35">
      <c r="A620" s="2" t="s">
        <v>43</v>
      </c>
      <c r="B620" s="2" t="s">
        <v>44</v>
      </c>
      <c r="C620" s="2" t="s">
        <v>36</v>
      </c>
      <c r="D620" s="2" t="s">
        <v>30</v>
      </c>
      <c r="E620" s="2">
        <v>90</v>
      </c>
      <c r="F620" s="2">
        <v>100</v>
      </c>
      <c r="G620" s="2">
        <v>94</v>
      </c>
      <c r="H620" s="2">
        <v>1</v>
      </c>
      <c r="I620" s="2">
        <v>1</v>
      </c>
      <c r="J620" s="2">
        <f>ABS(F620-E620)</f>
        <v>10</v>
      </c>
      <c r="K620" s="29">
        <f>J620/E620</f>
        <v>0.1111111111111111</v>
      </c>
      <c r="L620" s="2">
        <f>ABS(G620-E620)</f>
        <v>4</v>
      </c>
      <c r="M620" s="50">
        <f>(L620/E620)</f>
        <v>4.4444444444444446E-2</v>
      </c>
      <c r="N620" s="2">
        <v>97</v>
      </c>
      <c r="O620" s="11">
        <f t="shared" si="18"/>
        <v>7</v>
      </c>
      <c r="P620" s="29">
        <f t="shared" si="19"/>
        <v>7.7777777777777779E-2</v>
      </c>
    </row>
    <row r="621" spans="1:16" x14ac:dyDescent="0.35">
      <c r="A621" s="2" t="s">
        <v>43</v>
      </c>
      <c r="B621" s="2" t="s">
        <v>44</v>
      </c>
      <c r="C621" s="2" t="s">
        <v>36</v>
      </c>
      <c r="D621" s="2" t="s">
        <v>31</v>
      </c>
      <c r="E621" s="2">
        <v>143</v>
      </c>
      <c r="F621" s="2">
        <v>174</v>
      </c>
      <c r="G621" s="2">
        <v>144</v>
      </c>
      <c r="H621" s="2">
        <v>0</v>
      </c>
      <c r="I621" s="2">
        <v>0</v>
      </c>
      <c r="J621" s="2">
        <f>ABS(F621-E621)</f>
        <v>31</v>
      </c>
      <c r="K621" s="29">
        <f>J621/E621</f>
        <v>0.21678321678321677</v>
      </c>
      <c r="L621" s="2">
        <f>ABS(G621-E621)</f>
        <v>1</v>
      </c>
      <c r="M621" s="50">
        <f>(L621/E621)</f>
        <v>6.993006993006993E-3</v>
      </c>
      <c r="N621" s="2">
        <v>152</v>
      </c>
      <c r="O621" s="11">
        <f t="shared" si="18"/>
        <v>9</v>
      </c>
      <c r="P621" s="29">
        <f t="shared" si="19"/>
        <v>6.2937062937062943E-2</v>
      </c>
    </row>
    <row r="622" spans="1:16" x14ac:dyDescent="0.35">
      <c r="A622" s="2" t="s">
        <v>43</v>
      </c>
      <c r="B622" s="2" t="s">
        <v>44</v>
      </c>
      <c r="C622" s="2" t="s">
        <v>36</v>
      </c>
      <c r="D622" s="2" t="s">
        <v>32</v>
      </c>
      <c r="E622" s="2">
        <v>147</v>
      </c>
      <c r="F622" s="2">
        <v>136</v>
      </c>
      <c r="G622" s="2">
        <v>148</v>
      </c>
      <c r="H622" s="2">
        <v>1</v>
      </c>
      <c r="I622" s="2">
        <v>0</v>
      </c>
      <c r="J622" s="2">
        <f>ABS(F622-E622)</f>
        <v>11</v>
      </c>
      <c r="K622" s="29">
        <f>J622/E622</f>
        <v>7.4829931972789115E-2</v>
      </c>
      <c r="L622" s="2">
        <f>ABS(G622-E622)</f>
        <v>1</v>
      </c>
      <c r="M622" s="50">
        <f>(L622/E622)</f>
        <v>6.8027210884353739E-3</v>
      </c>
      <c r="N622" s="2">
        <v>135</v>
      </c>
      <c r="O622" s="11">
        <f t="shared" si="18"/>
        <v>12</v>
      </c>
      <c r="P622" s="29">
        <f t="shared" si="19"/>
        <v>8.1632653061224483E-2</v>
      </c>
    </row>
    <row r="623" spans="1:16" x14ac:dyDescent="0.35">
      <c r="A623" s="2" t="s">
        <v>43</v>
      </c>
      <c r="B623" s="2" t="s">
        <v>44</v>
      </c>
      <c r="C623" s="2" t="s">
        <v>36</v>
      </c>
      <c r="D623" s="2" t="s">
        <v>33</v>
      </c>
      <c r="E623" s="2">
        <v>138</v>
      </c>
      <c r="F623" s="2">
        <v>169</v>
      </c>
      <c r="G623" s="2">
        <v>133</v>
      </c>
      <c r="H623" s="2">
        <v>0</v>
      </c>
      <c r="I623" s="2">
        <v>0</v>
      </c>
      <c r="J623" s="2">
        <f>ABS(F623-E623)</f>
        <v>31</v>
      </c>
      <c r="K623" s="29">
        <f>J623/E623</f>
        <v>0.22463768115942029</v>
      </c>
      <c r="L623" s="2">
        <f>ABS(G623-E623)</f>
        <v>5</v>
      </c>
      <c r="M623" s="50">
        <f>(L623/E623)</f>
        <v>3.6231884057971016E-2</v>
      </c>
      <c r="N623" s="2">
        <v>145</v>
      </c>
      <c r="O623" s="11">
        <f t="shared" si="18"/>
        <v>7</v>
      </c>
      <c r="P623" s="29">
        <f t="shared" si="19"/>
        <v>5.0724637681159424E-2</v>
      </c>
    </row>
    <row r="624" spans="1:16" x14ac:dyDescent="0.35">
      <c r="A624" s="2" t="s">
        <v>43</v>
      </c>
      <c r="B624" s="2" t="s">
        <v>44</v>
      </c>
      <c r="C624" s="2" t="s">
        <v>36</v>
      </c>
      <c r="D624" s="2" t="s">
        <v>34</v>
      </c>
      <c r="E624" s="2">
        <v>179</v>
      </c>
      <c r="F624" s="2">
        <v>206</v>
      </c>
      <c r="G624" s="2">
        <v>194</v>
      </c>
      <c r="H624" s="2">
        <v>0</v>
      </c>
      <c r="I624" s="2">
        <v>0</v>
      </c>
      <c r="J624" s="2">
        <f>ABS(F624-E624)</f>
        <v>27</v>
      </c>
      <c r="K624" s="29">
        <f>J624/E624</f>
        <v>0.15083798882681565</v>
      </c>
      <c r="L624" s="2">
        <f>ABS(G624-E624)</f>
        <v>15</v>
      </c>
      <c r="M624" s="50">
        <f>(L624/E624)</f>
        <v>8.3798882681564241E-2</v>
      </c>
      <c r="N624" s="2">
        <v>180</v>
      </c>
      <c r="O624" s="11">
        <f t="shared" si="18"/>
        <v>1</v>
      </c>
      <c r="P624" s="29">
        <f t="shared" si="19"/>
        <v>5.5865921787709499E-3</v>
      </c>
    </row>
    <row r="625" spans="1:16" x14ac:dyDescent="0.35">
      <c r="A625" s="2" t="s">
        <v>43</v>
      </c>
      <c r="B625" s="2" t="s">
        <v>44</v>
      </c>
      <c r="C625" s="2" t="s">
        <v>36</v>
      </c>
      <c r="D625" s="2" t="s">
        <v>35</v>
      </c>
      <c r="E625" s="2">
        <v>176</v>
      </c>
      <c r="F625" s="2">
        <v>195</v>
      </c>
      <c r="G625" s="2">
        <v>182</v>
      </c>
      <c r="H625" s="2">
        <v>0</v>
      </c>
      <c r="I625" s="2">
        <v>0</v>
      </c>
      <c r="J625" s="2">
        <f>ABS(F625-E625)</f>
        <v>19</v>
      </c>
      <c r="K625" s="29">
        <f>J625/E625</f>
        <v>0.10795454545454546</v>
      </c>
      <c r="L625" s="2">
        <f>ABS(G625-E625)</f>
        <v>6</v>
      </c>
      <c r="M625" s="50">
        <f>(L625/E625)</f>
        <v>3.4090909090909088E-2</v>
      </c>
      <c r="N625" s="2">
        <v>179</v>
      </c>
      <c r="O625" s="11">
        <f t="shared" si="18"/>
        <v>3</v>
      </c>
      <c r="P625" s="29">
        <f t="shared" si="19"/>
        <v>1.7045454545454544E-2</v>
      </c>
    </row>
    <row r="626" spans="1:16" x14ac:dyDescent="0.35">
      <c r="A626" s="2" t="s">
        <v>43</v>
      </c>
      <c r="B626" s="2" t="s">
        <v>44</v>
      </c>
      <c r="C626" s="2" t="s">
        <v>37</v>
      </c>
      <c r="D626" s="2" t="s">
        <v>12</v>
      </c>
      <c r="E626" s="2">
        <v>179</v>
      </c>
      <c r="F626" s="2">
        <v>174</v>
      </c>
      <c r="G626" s="2">
        <v>172</v>
      </c>
      <c r="H626" s="2">
        <v>1</v>
      </c>
      <c r="I626" s="2">
        <v>0</v>
      </c>
      <c r="J626" s="2">
        <f>ABS(F626-E626)</f>
        <v>5</v>
      </c>
      <c r="K626" s="29">
        <f>J626/E626</f>
        <v>2.7932960893854747E-2</v>
      </c>
      <c r="L626" s="2">
        <f>ABS(G626-E626)</f>
        <v>7</v>
      </c>
      <c r="M626" s="50">
        <f>(L626/E626)</f>
        <v>3.9106145251396648E-2</v>
      </c>
      <c r="N626" s="2">
        <v>178</v>
      </c>
      <c r="O626" s="11">
        <f t="shared" si="18"/>
        <v>1</v>
      </c>
      <c r="P626" s="29">
        <f t="shared" si="19"/>
        <v>5.5865921787709499E-3</v>
      </c>
    </row>
    <row r="627" spans="1:16" x14ac:dyDescent="0.35">
      <c r="A627" s="2" t="s">
        <v>43</v>
      </c>
      <c r="B627" s="2" t="s">
        <v>44</v>
      </c>
      <c r="C627" s="2" t="s">
        <v>37</v>
      </c>
      <c r="D627" s="2" t="s">
        <v>13</v>
      </c>
      <c r="E627" s="2">
        <v>103</v>
      </c>
      <c r="F627" s="2">
        <v>116</v>
      </c>
      <c r="G627" s="2">
        <v>102</v>
      </c>
      <c r="H627" s="2">
        <v>1</v>
      </c>
      <c r="I627" s="2">
        <v>1</v>
      </c>
      <c r="J627" s="2">
        <f>ABS(F627-E627)</f>
        <v>13</v>
      </c>
      <c r="K627" s="29">
        <f>J627/E627</f>
        <v>0.12621359223300971</v>
      </c>
      <c r="L627" s="2">
        <f>ABS(G627-E627)</f>
        <v>1</v>
      </c>
      <c r="M627" s="50">
        <f>(L627/E627)</f>
        <v>9.7087378640776691E-3</v>
      </c>
      <c r="N627" s="2">
        <v>111</v>
      </c>
      <c r="O627" s="11">
        <f t="shared" si="18"/>
        <v>8</v>
      </c>
      <c r="P627" s="29">
        <f t="shared" si="19"/>
        <v>7.7669902912621352E-2</v>
      </c>
    </row>
    <row r="628" spans="1:16" x14ac:dyDescent="0.35">
      <c r="A628" s="2" t="s">
        <v>43</v>
      </c>
      <c r="B628" s="2" t="s">
        <v>44</v>
      </c>
      <c r="C628" s="2" t="s">
        <v>37</v>
      </c>
      <c r="D628" s="2" t="s">
        <v>14</v>
      </c>
      <c r="E628" s="2">
        <v>247</v>
      </c>
      <c r="F628" s="2">
        <v>228</v>
      </c>
      <c r="G628" s="2">
        <v>247</v>
      </c>
      <c r="H628" s="2">
        <v>0</v>
      </c>
      <c r="I628" s="2">
        <v>0</v>
      </c>
      <c r="J628" s="2">
        <f>ABS(F628-E628)</f>
        <v>19</v>
      </c>
      <c r="K628" s="29">
        <f>J628/E628</f>
        <v>7.6923076923076927E-2</v>
      </c>
      <c r="L628" s="2">
        <f>ABS(G628-E628)</f>
        <v>0</v>
      </c>
      <c r="M628" s="50">
        <f>(L628/E628)</f>
        <v>0</v>
      </c>
      <c r="N628" s="2">
        <v>212</v>
      </c>
      <c r="O628" s="11">
        <f t="shared" si="18"/>
        <v>35</v>
      </c>
      <c r="P628" s="29">
        <f t="shared" si="19"/>
        <v>0.1417004048582996</v>
      </c>
    </row>
    <row r="629" spans="1:16" x14ac:dyDescent="0.35">
      <c r="A629" s="2" t="s">
        <v>43</v>
      </c>
      <c r="B629" s="2" t="s">
        <v>44</v>
      </c>
      <c r="C629" s="2" t="s">
        <v>37</v>
      </c>
      <c r="D629" s="2" t="s">
        <v>15</v>
      </c>
      <c r="E629" s="2">
        <v>233</v>
      </c>
      <c r="F629" s="2">
        <v>174</v>
      </c>
      <c r="G629" s="2">
        <v>235</v>
      </c>
      <c r="H629" s="2">
        <v>0</v>
      </c>
      <c r="I629" s="2">
        <v>0</v>
      </c>
      <c r="J629" s="2">
        <f>ABS(F629-E629)</f>
        <v>59</v>
      </c>
      <c r="K629" s="29">
        <f>J629/E629</f>
        <v>0.25321888412017168</v>
      </c>
      <c r="L629" s="2">
        <f>ABS(G629-E629)</f>
        <v>2</v>
      </c>
      <c r="M629" s="50">
        <f>(L629/E629)</f>
        <v>8.5836909871244635E-3</v>
      </c>
      <c r="N629" s="2">
        <v>195</v>
      </c>
      <c r="O629" s="11">
        <f t="shared" si="18"/>
        <v>38</v>
      </c>
      <c r="P629" s="29">
        <f t="shared" si="19"/>
        <v>0.1630901287553648</v>
      </c>
    </row>
    <row r="630" spans="1:16" x14ac:dyDescent="0.35">
      <c r="A630" s="2" t="s">
        <v>43</v>
      </c>
      <c r="B630" s="2" t="s">
        <v>44</v>
      </c>
      <c r="C630" s="2" t="s">
        <v>37</v>
      </c>
      <c r="D630" s="2" t="s">
        <v>16</v>
      </c>
      <c r="E630" s="2">
        <v>217</v>
      </c>
      <c r="F630" s="2">
        <v>217</v>
      </c>
      <c r="G630" s="2">
        <v>225</v>
      </c>
      <c r="H630" s="2">
        <v>0</v>
      </c>
      <c r="I630" s="2">
        <v>0</v>
      </c>
      <c r="J630" s="2">
        <f>ABS(F630-E630)</f>
        <v>0</v>
      </c>
      <c r="K630" s="29">
        <f>J630/E630</f>
        <v>0</v>
      </c>
      <c r="L630" s="2">
        <f>ABS(G630-E630)</f>
        <v>8</v>
      </c>
      <c r="M630" s="50">
        <f>(L630/E630)</f>
        <v>3.6866359447004608E-2</v>
      </c>
      <c r="N630" s="2">
        <v>202</v>
      </c>
      <c r="O630" s="11">
        <f t="shared" si="18"/>
        <v>15</v>
      </c>
      <c r="P630" s="29">
        <f t="shared" si="19"/>
        <v>6.9124423963133647E-2</v>
      </c>
    </row>
    <row r="631" spans="1:16" x14ac:dyDescent="0.35">
      <c r="A631" s="2" t="s">
        <v>43</v>
      </c>
      <c r="B631" s="2" t="s">
        <v>44</v>
      </c>
      <c r="C631" s="2" t="s">
        <v>37</v>
      </c>
      <c r="D631" s="2" t="s">
        <v>17</v>
      </c>
      <c r="E631" s="2">
        <v>175</v>
      </c>
      <c r="F631" s="2">
        <v>202</v>
      </c>
      <c r="G631" s="2">
        <v>199</v>
      </c>
      <c r="H631" s="2">
        <v>1</v>
      </c>
      <c r="I631" s="2">
        <v>0</v>
      </c>
      <c r="J631" s="2">
        <f>ABS(F631-E631)</f>
        <v>27</v>
      </c>
      <c r="K631" s="29">
        <f>J631/E631</f>
        <v>0.15428571428571428</v>
      </c>
      <c r="L631" s="2">
        <f>ABS(G631-E631)</f>
        <v>24</v>
      </c>
      <c r="M631" s="50">
        <f>(L631/E631)</f>
        <v>0.13714285714285715</v>
      </c>
      <c r="N631" s="2">
        <v>181</v>
      </c>
      <c r="O631" s="11">
        <f t="shared" si="18"/>
        <v>6</v>
      </c>
      <c r="P631" s="29">
        <f t="shared" si="19"/>
        <v>3.4285714285714287E-2</v>
      </c>
    </row>
    <row r="632" spans="1:16" x14ac:dyDescent="0.35">
      <c r="A632" s="2" t="s">
        <v>43</v>
      </c>
      <c r="B632" s="2" t="s">
        <v>44</v>
      </c>
      <c r="C632" s="2" t="s">
        <v>37</v>
      </c>
      <c r="D632" s="2" t="s">
        <v>18</v>
      </c>
      <c r="E632" s="2">
        <v>174</v>
      </c>
      <c r="F632" s="2">
        <v>151</v>
      </c>
      <c r="G632" s="2">
        <v>167</v>
      </c>
      <c r="H632" s="2">
        <v>0</v>
      </c>
      <c r="I632" s="2">
        <v>0</v>
      </c>
      <c r="J632" s="2">
        <f>ABS(F632-E632)</f>
        <v>23</v>
      </c>
      <c r="K632" s="29">
        <f>J632/E632</f>
        <v>0.13218390804597702</v>
      </c>
      <c r="L632" s="2">
        <f>ABS(G632-E632)</f>
        <v>7</v>
      </c>
      <c r="M632" s="50">
        <f>(L632/E632)</f>
        <v>4.0229885057471264E-2</v>
      </c>
      <c r="N632" s="2">
        <v>164</v>
      </c>
      <c r="O632" s="11">
        <f t="shared" si="18"/>
        <v>10</v>
      </c>
      <c r="P632" s="29">
        <f t="shared" si="19"/>
        <v>5.7471264367816091E-2</v>
      </c>
    </row>
    <row r="633" spans="1:16" x14ac:dyDescent="0.35">
      <c r="A633" s="2" t="s">
        <v>43</v>
      </c>
      <c r="B633" s="2" t="s">
        <v>44</v>
      </c>
      <c r="C633" s="2" t="s">
        <v>37</v>
      </c>
      <c r="D633" s="2" t="s">
        <v>19</v>
      </c>
      <c r="E633" s="2">
        <v>153</v>
      </c>
      <c r="F633" s="2">
        <v>148</v>
      </c>
      <c r="G633" s="2">
        <v>161</v>
      </c>
      <c r="H633" s="2">
        <v>0</v>
      </c>
      <c r="I633" s="2">
        <v>0</v>
      </c>
      <c r="J633" s="2">
        <f>ABS(F633-E633)</f>
        <v>5</v>
      </c>
      <c r="K633" s="29">
        <f>J633/E633</f>
        <v>3.2679738562091505E-2</v>
      </c>
      <c r="L633" s="2">
        <f>ABS(G633-E633)</f>
        <v>8</v>
      </c>
      <c r="M633" s="50">
        <f>(L633/E633)</f>
        <v>5.2287581699346407E-2</v>
      </c>
      <c r="N633" s="2">
        <v>150</v>
      </c>
      <c r="O633" s="11">
        <f t="shared" si="18"/>
        <v>3</v>
      </c>
      <c r="P633" s="29">
        <f t="shared" si="19"/>
        <v>1.9607843137254902E-2</v>
      </c>
    </row>
    <row r="634" spans="1:16" x14ac:dyDescent="0.35">
      <c r="A634" s="2" t="s">
        <v>43</v>
      </c>
      <c r="B634" s="2" t="s">
        <v>44</v>
      </c>
      <c r="C634" s="2" t="s">
        <v>37</v>
      </c>
      <c r="D634" s="2" t="s">
        <v>20</v>
      </c>
      <c r="E634" s="2">
        <v>150</v>
      </c>
      <c r="F634" s="2">
        <v>159</v>
      </c>
      <c r="G634" s="2">
        <v>156</v>
      </c>
      <c r="H634" s="2">
        <v>0</v>
      </c>
      <c r="I634" s="2">
        <v>0</v>
      </c>
      <c r="J634" s="2">
        <f>ABS(F634-E634)</f>
        <v>9</v>
      </c>
      <c r="K634" s="29">
        <f>J634/E634</f>
        <v>0.06</v>
      </c>
      <c r="L634" s="2">
        <f>ABS(G634-E634)</f>
        <v>6</v>
      </c>
      <c r="M634" s="50">
        <f>(L634/E634)</f>
        <v>0.04</v>
      </c>
      <c r="N634" s="2">
        <v>148</v>
      </c>
      <c r="O634" s="11">
        <f t="shared" si="18"/>
        <v>2</v>
      </c>
      <c r="P634" s="29">
        <f t="shared" si="19"/>
        <v>1.3333333333333334E-2</v>
      </c>
    </row>
    <row r="635" spans="1:16" x14ac:dyDescent="0.35">
      <c r="A635" s="2" t="s">
        <v>43</v>
      </c>
      <c r="B635" s="2" t="s">
        <v>44</v>
      </c>
      <c r="C635" s="2" t="s">
        <v>37</v>
      </c>
      <c r="D635" s="2" t="s">
        <v>21</v>
      </c>
      <c r="E635" s="2">
        <v>146</v>
      </c>
      <c r="F635" s="2">
        <v>133</v>
      </c>
      <c r="G635" s="2">
        <v>140</v>
      </c>
      <c r="H635" s="2">
        <v>0</v>
      </c>
      <c r="I635" s="2">
        <v>0</v>
      </c>
      <c r="J635" s="2">
        <f>ABS(F635-E635)</f>
        <v>13</v>
      </c>
      <c r="K635" s="29">
        <f>J635/E635</f>
        <v>8.9041095890410954E-2</v>
      </c>
      <c r="L635" s="2">
        <f>ABS(G635-E635)</f>
        <v>6</v>
      </c>
      <c r="M635" s="50">
        <f>(L635/E635)</f>
        <v>4.1095890410958902E-2</v>
      </c>
      <c r="N635" s="2">
        <v>141</v>
      </c>
      <c r="O635" s="11">
        <f t="shared" si="18"/>
        <v>5</v>
      </c>
      <c r="P635" s="29">
        <f t="shared" si="19"/>
        <v>3.4246575342465752E-2</v>
      </c>
    </row>
    <row r="636" spans="1:16" x14ac:dyDescent="0.35">
      <c r="A636" s="2" t="s">
        <v>43</v>
      </c>
      <c r="B636" s="2" t="s">
        <v>44</v>
      </c>
      <c r="C636" s="2" t="s">
        <v>37</v>
      </c>
      <c r="D636" s="2" t="s">
        <v>22</v>
      </c>
      <c r="E636" s="2">
        <v>179</v>
      </c>
      <c r="F636" s="2">
        <v>191</v>
      </c>
      <c r="G636" s="2">
        <v>186</v>
      </c>
      <c r="H636" s="2">
        <v>1</v>
      </c>
      <c r="I636" s="2">
        <v>0</v>
      </c>
      <c r="J636" s="2">
        <f>ABS(F636-E636)</f>
        <v>12</v>
      </c>
      <c r="K636" s="29">
        <f>J636/E636</f>
        <v>6.7039106145251395E-2</v>
      </c>
      <c r="L636" s="2">
        <f>ABS(G636-E636)</f>
        <v>7</v>
      </c>
      <c r="M636" s="50">
        <f>(L636/E636)</f>
        <v>3.9106145251396648E-2</v>
      </c>
      <c r="N636" s="2">
        <v>177</v>
      </c>
      <c r="O636" s="11">
        <f t="shared" si="18"/>
        <v>2</v>
      </c>
      <c r="P636" s="29">
        <f t="shared" si="19"/>
        <v>1.11731843575419E-2</v>
      </c>
    </row>
    <row r="637" spans="1:16" x14ac:dyDescent="0.35">
      <c r="A637" s="2" t="s">
        <v>43</v>
      </c>
      <c r="B637" s="2" t="s">
        <v>44</v>
      </c>
      <c r="C637" s="2" t="s">
        <v>37</v>
      </c>
      <c r="D637" s="2" t="s">
        <v>23</v>
      </c>
      <c r="E637" s="2">
        <v>95</v>
      </c>
      <c r="F637" s="2">
        <v>102</v>
      </c>
      <c r="G637" s="2">
        <v>92</v>
      </c>
      <c r="H637" s="2">
        <v>0</v>
      </c>
      <c r="I637" s="2">
        <v>1</v>
      </c>
      <c r="J637" s="2">
        <f>ABS(F637-E637)</f>
        <v>7</v>
      </c>
      <c r="K637" s="29">
        <f>J637/E637</f>
        <v>7.3684210526315783E-2</v>
      </c>
      <c r="L637" s="2">
        <f>ABS(G637-E637)</f>
        <v>3</v>
      </c>
      <c r="M637" s="50">
        <f>(L637/E637)</f>
        <v>3.1578947368421054E-2</v>
      </c>
      <c r="N637" s="2">
        <v>99</v>
      </c>
      <c r="O637" s="11">
        <f t="shared" si="18"/>
        <v>4</v>
      </c>
      <c r="P637" s="29">
        <f t="shared" si="19"/>
        <v>4.2105263157894736E-2</v>
      </c>
    </row>
    <row r="638" spans="1:16" x14ac:dyDescent="0.35">
      <c r="A638" s="2" t="s">
        <v>43</v>
      </c>
      <c r="B638" s="2" t="s">
        <v>44</v>
      </c>
      <c r="C638" s="2" t="s">
        <v>37</v>
      </c>
      <c r="D638" s="2" t="s">
        <v>24</v>
      </c>
      <c r="E638" s="2">
        <v>243</v>
      </c>
      <c r="F638" s="2">
        <v>277</v>
      </c>
      <c r="G638" s="2">
        <v>254</v>
      </c>
      <c r="H638" s="2">
        <v>0</v>
      </c>
      <c r="I638" s="2">
        <v>0</v>
      </c>
      <c r="J638" s="2">
        <f>ABS(F638-E638)</f>
        <v>34</v>
      </c>
      <c r="K638" s="29">
        <f>J638/E638</f>
        <v>0.13991769547325103</v>
      </c>
      <c r="L638" s="2">
        <f>ABS(G638-E638)</f>
        <v>11</v>
      </c>
      <c r="M638" s="50">
        <f>(L638/E638)</f>
        <v>4.5267489711934158E-2</v>
      </c>
      <c r="N638" s="2">
        <v>232</v>
      </c>
      <c r="O638" s="11">
        <f t="shared" si="18"/>
        <v>11</v>
      </c>
      <c r="P638" s="29">
        <f t="shared" si="19"/>
        <v>4.5267489711934158E-2</v>
      </c>
    </row>
    <row r="639" spans="1:16" x14ac:dyDescent="0.35">
      <c r="A639" s="2" t="s">
        <v>43</v>
      </c>
      <c r="B639" s="2" t="s">
        <v>44</v>
      </c>
      <c r="C639" s="2" t="s">
        <v>37</v>
      </c>
      <c r="D639" s="2" t="s">
        <v>25</v>
      </c>
      <c r="E639" s="2">
        <v>255</v>
      </c>
      <c r="F639" s="2">
        <v>270</v>
      </c>
      <c r="G639" s="2">
        <v>257</v>
      </c>
      <c r="H639" s="2">
        <v>1</v>
      </c>
      <c r="I639" s="2">
        <v>0</v>
      </c>
      <c r="J639" s="2">
        <f>ABS(F639-E639)</f>
        <v>15</v>
      </c>
      <c r="K639" s="29">
        <f>J639/E639</f>
        <v>5.8823529411764705E-2</v>
      </c>
      <c r="L639" s="2">
        <f>ABS(G639-E639)</f>
        <v>2</v>
      </c>
      <c r="M639" s="50">
        <f>(L639/E639)</f>
        <v>7.8431372549019607E-3</v>
      </c>
      <c r="N639" s="2">
        <v>233</v>
      </c>
      <c r="O639" s="11">
        <f t="shared" si="18"/>
        <v>22</v>
      </c>
      <c r="P639" s="29">
        <f t="shared" si="19"/>
        <v>8.6274509803921567E-2</v>
      </c>
    </row>
    <row r="640" spans="1:16" x14ac:dyDescent="0.35">
      <c r="A640" s="2" t="s">
        <v>43</v>
      </c>
      <c r="B640" s="2" t="s">
        <v>44</v>
      </c>
      <c r="C640" s="2" t="s">
        <v>37</v>
      </c>
      <c r="D640" s="2" t="s">
        <v>26</v>
      </c>
      <c r="E640" s="2">
        <v>247</v>
      </c>
      <c r="F640" s="2">
        <v>289</v>
      </c>
      <c r="G640" s="2">
        <v>245</v>
      </c>
      <c r="H640" s="2">
        <v>0</v>
      </c>
      <c r="I640" s="2">
        <v>0</v>
      </c>
      <c r="J640" s="2">
        <f>ABS(F640-E640)</f>
        <v>42</v>
      </c>
      <c r="K640" s="29">
        <f>J640/E640</f>
        <v>0.17004048582995951</v>
      </c>
      <c r="L640" s="2">
        <f>ABS(G640-E640)</f>
        <v>2</v>
      </c>
      <c r="M640" s="50">
        <f>(L640/E640)</f>
        <v>8.0971659919028341E-3</v>
      </c>
      <c r="N640" s="2">
        <v>231</v>
      </c>
      <c r="O640" s="11">
        <f t="shared" si="18"/>
        <v>16</v>
      </c>
      <c r="P640" s="29">
        <f t="shared" si="19"/>
        <v>6.4777327935222673E-2</v>
      </c>
    </row>
    <row r="641" spans="1:16" x14ac:dyDescent="0.35">
      <c r="A641" s="2" t="s">
        <v>43</v>
      </c>
      <c r="B641" s="2" t="s">
        <v>44</v>
      </c>
      <c r="C641" s="2" t="s">
        <v>37</v>
      </c>
      <c r="D641" s="2" t="s">
        <v>27</v>
      </c>
      <c r="E641" s="2">
        <v>217</v>
      </c>
      <c r="F641" s="2">
        <v>196</v>
      </c>
      <c r="G641" s="2">
        <v>192</v>
      </c>
      <c r="H641" s="2">
        <v>1</v>
      </c>
      <c r="I641" s="2">
        <v>0</v>
      </c>
      <c r="J641" s="2">
        <f>ABS(F641-E641)</f>
        <v>21</v>
      </c>
      <c r="K641" s="29">
        <f>J641/E641</f>
        <v>9.6774193548387094E-2</v>
      </c>
      <c r="L641" s="2">
        <f>ABS(G641-E641)</f>
        <v>25</v>
      </c>
      <c r="M641" s="50">
        <f>(L641/E641)</f>
        <v>0.1152073732718894</v>
      </c>
      <c r="N641" s="2">
        <v>197</v>
      </c>
      <c r="O641" s="11">
        <f t="shared" si="18"/>
        <v>20</v>
      </c>
      <c r="P641" s="29">
        <f t="shared" si="19"/>
        <v>9.2165898617511524E-2</v>
      </c>
    </row>
    <row r="642" spans="1:16" x14ac:dyDescent="0.35">
      <c r="A642" s="2" t="s">
        <v>43</v>
      </c>
      <c r="B642" s="2" t="s">
        <v>44</v>
      </c>
      <c r="C642" s="2" t="s">
        <v>37</v>
      </c>
      <c r="D642" s="2" t="s">
        <v>28</v>
      </c>
      <c r="E642" s="2">
        <v>202</v>
      </c>
      <c r="F642" s="2">
        <v>209</v>
      </c>
      <c r="G642" s="2">
        <v>197</v>
      </c>
      <c r="H642" s="2">
        <v>0</v>
      </c>
      <c r="I642" s="2">
        <v>0</v>
      </c>
      <c r="J642" s="2">
        <f>ABS(F642-E642)</f>
        <v>7</v>
      </c>
      <c r="K642" s="29">
        <f>J642/E642</f>
        <v>3.4653465346534656E-2</v>
      </c>
      <c r="L642" s="2">
        <f>ABS(G642-E642)</f>
        <v>5</v>
      </c>
      <c r="M642" s="50">
        <f>(L642/E642)</f>
        <v>2.4752475247524754E-2</v>
      </c>
      <c r="N642" s="2">
        <v>201</v>
      </c>
      <c r="O642" s="11">
        <f t="shared" si="18"/>
        <v>1</v>
      </c>
      <c r="P642" s="29">
        <f t="shared" si="19"/>
        <v>4.9504950495049506E-3</v>
      </c>
    </row>
    <row r="643" spans="1:16" x14ac:dyDescent="0.35">
      <c r="A643" s="2" t="s">
        <v>43</v>
      </c>
      <c r="B643" s="2" t="s">
        <v>44</v>
      </c>
      <c r="C643" s="2" t="s">
        <v>37</v>
      </c>
      <c r="D643" s="2" t="s">
        <v>29</v>
      </c>
      <c r="E643" s="2">
        <v>222</v>
      </c>
      <c r="F643" s="2">
        <v>246</v>
      </c>
      <c r="G643" s="2">
        <v>209</v>
      </c>
      <c r="H643" s="2">
        <v>1</v>
      </c>
      <c r="I643" s="2">
        <v>0</v>
      </c>
      <c r="J643" s="2">
        <f>ABS(F643-E643)</f>
        <v>24</v>
      </c>
      <c r="K643" s="29">
        <f>J643/E643</f>
        <v>0.10810810810810811</v>
      </c>
      <c r="L643" s="2">
        <f>ABS(G643-E643)</f>
        <v>13</v>
      </c>
      <c r="M643" s="50">
        <f>(L643/E643)</f>
        <v>5.8558558558558557E-2</v>
      </c>
      <c r="N643" s="2">
        <v>220</v>
      </c>
      <c r="O643" s="11">
        <f t="shared" ref="O643:O706" si="20">ABS(N643-E643)</f>
        <v>2</v>
      </c>
      <c r="P643" s="29">
        <f t="shared" ref="P643:P706" si="21">O643/E643</f>
        <v>9.0090090090090089E-3</v>
      </c>
    </row>
    <row r="644" spans="1:16" x14ac:dyDescent="0.35">
      <c r="A644" s="2" t="s">
        <v>43</v>
      </c>
      <c r="B644" s="2" t="s">
        <v>44</v>
      </c>
      <c r="C644" s="2" t="s">
        <v>37</v>
      </c>
      <c r="D644" s="2" t="s">
        <v>30</v>
      </c>
      <c r="E644" s="2">
        <v>186</v>
      </c>
      <c r="F644" s="2">
        <v>175</v>
      </c>
      <c r="G644" s="2">
        <v>171</v>
      </c>
      <c r="H644" s="2">
        <v>0</v>
      </c>
      <c r="I644" s="2">
        <v>0</v>
      </c>
      <c r="J644" s="2">
        <f>ABS(F644-E644)</f>
        <v>11</v>
      </c>
      <c r="K644" s="29">
        <f>J644/E644</f>
        <v>5.9139784946236562E-2</v>
      </c>
      <c r="L644" s="2">
        <f>ABS(G644-E644)</f>
        <v>15</v>
      </c>
      <c r="M644" s="50">
        <f>(L644/E644)</f>
        <v>8.0645161290322578E-2</v>
      </c>
      <c r="N644" s="2">
        <v>179</v>
      </c>
      <c r="O644" s="11">
        <f t="shared" si="20"/>
        <v>7</v>
      </c>
      <c r="P644" s="29">
        <f t="shared" si="21"/>
        <v>3.7634408602150539E-2</v>
      </c>
    </row>
    <row r="645" spans="1:16" x14ac:dyDescent="0.35">
      <c r="A645" s="2" t="s">
        <v>43</v>
      </c>
      <c r="B645" s="2" t="s">
        <v>44</v>
      </c>
      <c r="C645" s="2" t="s">
        <v>37</v>
      </c>
      <c r="D645" s="2" t="s">
        <v>31</v>
      </c>
      <c r="E645" s="2">
        <v>173</v>
      </c>
      <c r="F645" s="2">
        <v>166</v>
      </c>
      <c r="G645" s="2">
        <v>182</v>
      </c>
      <c r="H645" s="2">
        <v>0</v>
      </c>
      <c r="I645" s="2">
        <v>0</v>
      </c>
      <c r="J645" s="2">
        <f>ABS(F645-E645)</f>
        <v>7</v>
      </c>
      <c r="K645" s="29">
        <f>J645/E645</f>
        <v>4.046242774566474E-2</v>
      </c>
      <c r="L645" s="2">
        <f>ABS(G645-E645)</f>
        <v>9</v>
      </c>
      <c r="M645" s="50">
        <f>(L645/E645)</f>
        <v>5.2023121387283239E-2</v>
      </c>
      <c r="N645" s="2">
        <v>162</v>
      </c>
      <c r="O645" s="11">
        <f t="shared" si="20"/>
        <v>11</v>
      </c>
      <c r="P645" s="29">
        <f t="shared" si="21"/>
        <v>6.358381502890173E-2</v>
      </c>
    </row>
    <row r="646" spans="1:16" x14ac:dyDescent="0.35">
      <c r="A646" s="2" t="s">
        <v>43</v>
      </c>
      <c r="B646" s="2" t="s">
        <v>44</v>
      </c>
      <c r="C646" s="2" t="s">
        <v>37</v>
      </c>
      <c r="D646" s="2" t="s">
        <v>32</v>
      </c>
      <c r="E646" s="2">
        <v>141</v>
      </c>
      <c r="F646" s="2">
        <v>157</v>
      </c>
      <c r="G646" s="2">
        <v>138</v>
      </c>
      <c r="H646" s="2">
        <v>0</v>
      </c>
      <c r="I646" s="2">
        <v>0</v>
      </c>
      <c r="J646" s="2">
        <f>ABS(F646-E646)</f>
        <v>16</v>
      </c>
      <c r="K646" s="29">
        <f>J646/E646</f>
        <v>0.11347517730496454</v>
      </c>
      <c r="L646" s="2">
        <f>ABS(G646-E646)</f>
        <v>3</v>
      </c>
      <c r="M646" s="50">
        <f>(L646/E646)</f>
        <v>2.1276595744680851E-2</v>
      </c>
      <c r="N646" s="2">
        <v>151</v>
      </c>
      <c r="O646" s="11">
        <f t="shared" si="20"/>
        <v>10</v>
      </c>
      <c r="P646" s="29">
        <f t="shared" si="21"/>
        <v>7.0921985815602842E-2</v>
      </c>
    </row>
    <row r="647" spans="1:16" x14ac:dyDescent="0.35">
      <c r="A647" s="2" t="s">
        <v>43</v>
      </c>
      <c r="B647" s="2" t="s">
        <v>44</v>
      </c>
      <c r="C647" s="2" t="s">
        <v>37</v>
      </c>
      <c r="D647" s="2" t="s">
        <v>33</v>
      </c>
      <c r="E647" s="2">
        <v>170</v>
      </c>
      <c r="F647" s="2">
        <v>179</v>
      </c>
      <c r="G647" s="2">
        <v>161</v>
      </c>
      <c r="H647" s="2">
        <v>0</v>
      </c>
      <c r="I647" s="2">
        <v>0</v>
      </c>
      <c r="J647" s="2">
        <f>ABS(F647-E647)</f>
        <v>9</v>
      </c>
      <c r="K647" s="29">
        <f>J647/E647</f>
        <v>5.2941176470588235E-2</v>
      </c>
      <c r="L647" s="2">
        <f>ABS(G647-E647)</f>
        <v>9</v>
      </c>
      <c r="M647" s="50">
        <f>(L647/E647)</f>
        <v>5.2941176470588235E-2</v>
      </c>
      <c r="N647" s="2">
        <v>166</v>
      </c>
      <c r="O647" s="11">
        <f t="shared" si="20"/>
        <v>4</v>
      </c>
      <c r="P647" s="29">
        <f t="shared" si="21"/>
        <v>2.3529411764705882E-2</v>
      </c>
    </row>
    <row r="648" spans="1:16" x14ac:dyDescent="0.35">
      <c r="A648" s="2" t="s">
        <v>43</v>
      </c>
      <c r="B648" s="2" t="s">
        <v>44</v>
      </c>
      <c r="C648" s="2" t="s">
        <v>37</v>
      </c>
      <c r="D648" s="2" t="s">
        <v>34</v>
      </c>
      <c r="E648" s="2">
        <v>170</v>
      </c>
      <c r="F648" s="2">
        <v>161</v>
      </c>
      <c r="G648" s="2">
        <v>148</v>
      </c>
      <c r="H648" s="2">
        <v>0</v>
      </c>
      <c r="I648" s="2">
        <v>0</v>
      </c>
      <c r="J648" s="2">
        <f>ABS(F648-E648)</f>
        <v>9</v>
      </c>
      <c r="K648" s="29">
        <f>J648/E648</f>
        <v>5.2941176470588235E-2</v>
      </c>
      <c r="L648" s="2">
        <f>ABS(G648-E648)</f>
        <v>22</v>
      </c>
      <c r="M648" s="50">
        <f>(L648/E648)</f>
        <v>0.12941176470588237</v>
      </c>
      <c r="N648" s="2">
        <v>164</v>
      </c>
      <c r="O648" s="11">
        <f t="shared" si="20"/>
        <v>6</v>
      </c>
      <c r="P648" s="29">
        <f t="shared" si="21"/>
        <v>3.5294117647058823E-2</v>
      </c>
    </row>
    <row r="649" spans="1:16" x14ac:dyDescent="0.35">
      <c r="A649" s="2" t="s">
        <v>43</v>
      </c>
      <c r="B649" s="2" t="s">
        <v>44</v>
      </c>
      <c r="C649" s="2" t="s">
        <v>37</v>
      </c>
      <c r="D649" s="2" t="s">
        <v>35</v>
      </c>
      <c r="E649" s="2">
        <v>190</v>
      </c>
      <c r="F649" s="2">
        <v>199</v>
      </c>
      <c r="G649" s="2">
        <v>187</v>
      </c>
      <c r="H649" s="2">
        <v>0</v>
      </c>
      <c r="I649" s="2">
        <v>0</v>
      </c>
      <c r="J649" s="2">
        <f>ABS(F649-E649)</f>
        <v>9</v>
      </c>
      <c r="K649" s="29">
        <f>J649/E649</f>
        <v>4.736842105263158E-2</v>
      </c>
      <c r="L649" s="2">
        <f>ABS(G649-E649)</f>
        <v>3</v>
      </c>
      <c r="M649" s="50">
        <f>(L649/E649)</f>
        <v>1.5789473684210527E-2</v>
      </c>
      <c r="N649" s="2">
        <v>180</v>
      </c>
      <c r="O649" s="11">
        <f t="shared" si="20"/>
        <v>10</v>
      </c>
      <c r="P649" s="29">
        <f t="shared" si="21"/>
        <v>5.2631578947368418E-2</v>
      </c>
    </row>
    <row r="650" spans="1:16" x14ac:dyDescent="0.35">
      <c r="A650" s="2" t="s">
        <v>43</v>
      </c>
      <c r="B650" s="2" t="s">
        <v>44</v>
      </c>
      <c r="C650" s="2" t="s">
        <v>38</v>
      </c>
      <c r="D650" s="2" t="s">
        <v>12</v>
      </c>
      <c r="E650" s="2">
        <v>201</v>
      </c>
      <c r="F650" s="2">
        <v>226</v>
      </c>
      <c r="G650" s="2">
        <v>205</v>
      </c>
      <c r="H650" s="2">
        <v>0</v>
      </c>
      <c r="I650" s="2">
        <v>0</v>
      </c>
      <c r="J650" s="2">
        <f>ABS(F650-E650)</f>
        <v>25</v>
      </c>
      <c r="K650" s="29">
        <f>J650/E650</f>
        <v>0.12437810945273632</v>
      </c>
      <c r="L650" s="2">
        <f>ABS(G650-E650)</f>
        <v>4</v>
      </c>
      <c r="M650" s="50">
        <f>(L650/E650)</f>
        <v>1.9900497512437811E-2</v>
      </c>
      <c r="N650" s="2">
        <v>206</v>
      </c>
      <c r="O650" s="11">
        <f t="shared" si="20"/>
        <v>5</v>
      </c>
      <c r="P650" s="29">
        <f t="shared" si="21"/>
        <v>2.4875621890547265E-2</v>
      </c>
    </row>
    <row r="651" spans="1:16" x14ac:dyDescent="0.35">
      <c r="A651" s="2" t="s">
        <v>43</v>
      </c>
      <c r="B651" s="2" t="s">
        <v>44</v>
      </c>
      <c r="C651" s="2" t="s">
        <v>38</v>
      </c>
      <c r="D651" s="2" t="s">
        <v>13</v>
      </c>
      <c r="E651" s="2">
        <v>201</v>
      </c>
      <c r="F651" s="2">
        <v>225</v>
      </c>
      <c r="G651" s="2">
        <v>206</v>
      </c>
      <c r="H651" s="2">
        <v>0</v>
      </c>
      <c r="I651" s="2">
        <v>0</v>
      </c>
      <c r="J651" s="2">
        <f>ABS(F651-E651)</f>
        <v>24</v>
      </c>
      <c r="K651" s="29">
        <f>J651/E651</f>
        <v>0.11940298507462686</v>
      </c>
      <c r="L651" s="2">
        <f>ABS(G651-E651)</f>
        <v>5</v>
      </c>
      <c r="M651" s="50">
        <f>(L651/E651)</f>
        <v>2.4875621890547265E-2</v>
      </c>
      <c r="N651" s="2">
        <v>212</v>
      </c>
      <c r="O651" s="11">
        <f t="shared" si="20"/>
        <v>11</v>
      </c>
      <c r="P651" s="29">
        <f t="shared" si="21"/>
        <v>5.4726368159203981E-2</v>
      </c>
    </row>
    <row r="652" spans="1:16" x14ac:dyDescent="0.35">
      <c r="A652" s="2" t="s">
        <v>43</v>
      </c>
      <c r="B652" s="2" t="s">
        <v>44</v>
      </c>
      <c r="C652" s="2" t="s">
        <v>38</v>
      </c>
      <c r="D652" s="2" t="s">
        <v>14</v>
      </c>
      <c r="E652" s="2">
        <v>207</v>
      </c>
      <c r="F652" s="2">
        <v>250</v>
      </c>
      <c r="G652" s="2">
        <v>194</v>
      </c>
      <c r="H652" s="2">
        <v>0</v>
      </c>
      <c r="I652" s="2">
        <v>0</v>
      </c>
      <c r="J652" s="2">
        <f>ABS(F652-E652)</f>
        <v>43</v>
      </c>
      <c r="K652" s="29">
        <f>J652/E652</f>
        <v>0.20772946859903382</v>
      </c>
      <c r="L652" s="2">
        <f>ABS(G652-E652)</f>
        <v>13</v>
      </c>
      <c r="M652" s="50">
        <f>(L652/E652)</f>
        <v>6.280193236714976E-2</v>
      </c>
      <c r="N652" s="2">
        <v>227</v>
      </c>
      <c r="O652" s="11">
        <f t="shared" si="20"/>
        <v>20</v>
      </c>
      <c r="P652" s="29">
        <f t="shared" si="21"/>
        <v>9.6618357487922704E-2</v>
      </c>
    </row>
    <row r="653" spans="1:16" x14ac:dyDescent="0.35">
      <c r="A653" s="2" t="s">
        <v>43</v>
      </c>
      <c r="B653" s="2" t="s">
        <v>44</v>
      </c>
      <c r="C653" s="2" t="s">
        <v>38</v>
      </c>
      <c r="D653" s="2" t="s">
        <v>15</v>
      </c>
      <c r="E653" s="2">
        <v>171</v>
      </c>
      <c r="F653" s="2">
        <v>183</v>
      </c>
      <c r="G653" s="2">
        <v>171</v>
      </c>
      <c r="H653" s="2">
        <v>0</v>
      </c>
      <c r="I653" s="2">
        <v>0</v>
      </c>
      <c r="J653" s="2">
        <f>ABS(F653-E653)</f>
        <v>12</v>
      </c>
      <c r="K653" s="29">
        <f>J653/E653</f>
        <v>7.0175438596491224E-2</v>
      </c>
      <c r="L653" s="2">
        <f>ABS(G653-E653)</f>
        <v>0</v>
      </c>
      <c r="M653" s="50">
        <f>(L653/E653)</f>
        <v>0</v>
      </c>
      <c r="N653" s="2">
        <v>184</v>
      </c>
      <c r="O653" s="11">
        <f t="shared" si="20"/>
        <v>13</v>
      </c>
      <c r="P653" s="29">
        <f t="shared" si="21"/>
        <v>7.6023391812865493E-2</v>
      </c>
    </row>
    <row r="654" spans="1:16" x14ac:dyDescent="0.35">
      <c r="A654" s="2" t="s">
        <v>43</v>
      </c>
      <c r="B654" s="2" t="s">
        <v>44</v>
      </c>
      <c r="C654" s="2" t="s">
        <v>38</v>
      </c>
      <c r="D654" s="2" t="s">
        <v>16</v>
      </c>
      <c r="E654" s="2">
        <v>191</v>
      </c>
      <c r="F654" s="2">
        <v>206</v>
      </c>
      <c r="G654" s="2">
        <v>188</v>
      </c>
      <c r="H654" s="2">
        <v>1</v>
      </c>
      <c r="I654" s="2">
        <v>0</v>
      </c>
      <c r="J654" s="2">
        <f>ABS(F654-E654)</f>
        <v>15</v>
      </c>
      <c r="K654" s="29">
        <f>J654/E654</f>
        <v>7.8534031413612565E-2</v>
      </c>
      <c r="L654" s="2">
        <f>ABS(G654-E654)</f>
        <v>3</v>
      </c>
      <c r="M654" s="50">
        <f>(L654/E654)</f>
        <v>1.5706806282722512E-2</v>
      </c>
      <c r="N654" s="2">
        <v>190</v>
      </c>
      <c r="O654" s="11">
        <f t="shared" si="20"/>
        <v>1</v>
      </c>
      <c r="P654" s="29">
        <f t="shared" si="21"/>
        <v>5.235602094240838E-3</v>
      </c>
    </row>
    <row r="655" spans="1:16" x14ac:dyDescent="0.35">
      <c r="A655" s="2" t="s">
        <v>43</v>
      </c>
      <c r="B655" s="2" t="s">
        <v>44</v>
      </c>
      <c r="C655" s="2" t="s">
        <v>38</v>
      </c>
      <c r="D655" s="2" t="s">
        <v>17</v>
      </c>
      <c r="E655" s="2">
        <v>196</v>
      </c>
      <c r="F655" s="2">
        <v>204</v>
      </c>
      <c r="G655" s="2">
        <v>179</v>
      </c>
      <c r="H655" s="2">
        <v>0</v>
      </c>
      <c r="I655" s="2">
        <v>0</v>
      </c>
      <c r="J655" s="2">
        <f>ABS(F655-E655)</f>
        <v>8</v>
      </c>
      <c r="K655" s="29">
        <f>J655/E655</f>
        <v>4.0816326530612242E-2</v>
      </c>
      <c r="L655" s="2">
        <f>ABS(G655-E655)</f>
        <v>17</v>
      </c>
      <c r="M655" s="50">
        <f>(L655/E655)</f>
        <v>8.673469387755102E-2</v>
      </c>
      <c r="N655" s="2">
        <v>188</v>
      </c>
      <c r="O655" s="11">
        <f t="shared" si="20"/>
        <v>8</v>
      </c>
      <c r="P655" s="29">
        <f t="shared" si="21"/>
        <v>4.0816326530612242E-2</v>
      </c>
    </row>
    <row r="656" spans="1:16" x14ac:dyDescent="0.35">
      <c r="A656" s="2" t="s">
        <v>43</v>
      </c>
      <c r="B656" s="2" t="s">
        <v>44</v>
      </c>
      <c r="C656" s="2" t="s">
        <v>38</v>
      </c>
      <c r="D656" s="2" t="s">
        <v>18</v>
      </c>
      <c r="E656" s="2">
        <v>154</v>
      </c>
      <c r="F656" s="2">
        <v>166</v>
      </c>
      <c r="G656" s="2">
        <v>144</v>
      </c>
      <c r="H656" s="2">
        <v>0</v>
      </c>
      <c r="I656" s="2">
        <v>0</v>
      </c>
      <c r="J656" s="2">
        <f>ABS(F656-E656)</f>
        <v>12</v>
      </c>
      <c r="K656" s="29">
        <f>J656/E656</f>
        <v>7.792207792207792E-2</v>
      </c>
      <c r="L656" s="2">
        <f>ABS(G656-E656)</f>
        <v>10</v>
      </c>
      <c r="M656" s="50">
        <f>(L656/E656)</f>
        <v>6.4935064935064929E-2</v>
      </c>
      <c r="N656" s="2">
        <v>162</v>
      </c>
      <c r="O656" s="11">
        <f t="shared" si="20"/>
        <v>8</v>
      </c>
      <c r="P656" s="29">
        <f t="shared" si="21"/>
        <v>5.1948051948051951E-2</v>
      </c>
    </row>
    <row r="657" spans="1:16" x14ac:dyDescent="0.35">
      <c r="A657" s="2" t="s">
        <v>43</v>
      </c>
      <c r="B657" s="2" t="s">
        <v>44</v>
      </c>
      <c r="C657" s="2" t="s">
        <v>38</v>
      </c>
      <c r="D657" s="2" t="s">
        <v>19</v>
      </c>
      <c r="E657" s="2">
        <v>132</v>
      </c>
      <c r="F657" s="2">
        <v>156</v>
      </c>
      <c r="G657" s="2">
        <v>135</v>
      </c>
      <c r="H657" s="2">
        <v>0</v>
      </c>
      <c r="I657" s="2">
        <v>0</v>
      </c>
      <c r="J657" s="2">
        <f>ABS(F657-E657)</f>
        <v>24</v>
      </c>
      <c r="K657" s="29">
        <f>J657/E657</f>
        <v>0.18181818181818182</v>
      </c>
      <c r="L657" s="2">
        <f>ABS(G657-E657)</f>
        <v>3</v>
      </c>
      <c r="M657" s="50">
        <f>(L657/E657)</f>
        <v>2.2727272727272728E-2</v>
      </c>
      <c r="N657" s="2">
        <v>141</v>
      </c>
      <c r="O657" s="11">
        <f t="shared" si="20"/>
        <v>9</v>
      </c>
      <c r="P657" s="29">
        <f t="shared" si="21"/>
        <v>6.8181818181818177E-2</v>
      </c>
    </row>
    <row r="658" spans="1:16" x14ac:dyDescent="0.35">
      <c r="A658" s="2" t="s">
        <v>43</v>
      </c>
      <c r="B658" s="2" t="s">
        <v>44</v>
      </c>
      <c r="C658" s="2" t="s">
        <v>38</v>
      </c>
      <c r="D658" s="2" t="s">
        <v>20</v>
      </c>
      <c r="E658" s="2">
        <v>143</v>
      </c>
      <c r="F658" s="2">
        <v>167</v>
      </c>
      <c r="G658" s="2">
        <v>154</v>
      </c>
      <c r="H658" s="2">
        <v>0</v>
      </c>
      <c r="I658" s="2">
        <v>0</v>
      </c>
      <c r="J658" s="2">
        <f>ABS(F658-E658)</f>
        <v>24</v>
      </c>
      <c r="K658" s="29">
        <f>J658/E658</f>
        <v>0.16783216783216784</v>
      </c>
      <c r="L658" s="2">
        <f>ABS(G658-E658)</f>
        <v>11</v>
      </c>
      <c r="M658" s="50">
        <f>(L658/E658)</f>
        <v>7.6923076923076927E-2</v>
      </c>
      <c r="N658" s="2">
        <v>143</v>
      </c>
      <c r="O658" s="11">
        <f t="shared" si="20"/>
        <v>0</v>
      </c>
      <c r="P658" s="29">
        <f t="shared" si="21"/>
        <v>0</v>
      </c>
    </row>
    <row r="659" spans="1:16" x14ac:dyDescent="0.35">
      <c r="A659" s="2" t="s">
        <v>43</v>
      </c>
      <c r="B659" s="2" t="s">
        <v>44</v>
      </c>
      <c r="C659" s="2" t="s">
        <v>38</v>
      </c>
      <c r="D659" s="2" t="s">
        <v>21</v>
      </c>
      <c r="E659" s="2">
        <v>127</v>
      </c>
      <c r="F659" s="2">
        <v>131</v>
      </c>
      <c r="G659" s="2">
        <v>129</v>
      </c>
      <c r="H659" s="2">
        <v>0</v>
      </c>
      <c r="I659" s="2">
        <v>0</v>
      </c>
      <c r="J659" s="2">
        <f>ABS(F659-E659)</f>
        <v>4</v>
      </c>
      <c r="K659" s="29">
        <f>J659/E659</f>
        <v>3.1496062992125984E-2</v>
      </c>
      <c r="L659" s="2">
        <f>ABS(G659-E659)</f>
        <v>2</v>
      </c>
      <c r="M659" s="50">
        <f>(L659/E659)</f>
        <v>1.5748031496062992E-2</v>
      </c>
      <c r="N659" s="2">
        <v>128</v>
      </c>
      <c r="O659" s="11">
        <f t="shared" si="20"/>
        <v>1</v>
      </c>
      <c r="P659" s="29">
        <f t="shared" si="21"/>
        <v>7.874015748031496E-3</v>
      </c>
    </row>
    <row r="660" spans="1:16" x14ac:dyDescent="0.35">
      <c r="A660" s="2" t="s">
        <v>43</v>
      </c>
      <c r="B660" s="2" t="s">
        <v>44</v>
      </c>
      <c r="C660" s="2" t="s">
        <v>38</v>
      </c>
      <c r="D660" s="2" t="s">
        <v>22</v>
      </c>
      <c r="E660" s="2">
        <v>148</v>
      </c>
      <c r="F660" s="2">
        <v>158</v>
      </c>
      <c r="G660" s="2">
        <v>141</v>
      </c>
      <c r="H660" s="2">
        <v>0</v>
      </c>
      <c r="I660" s="2">
        <v>0</v>
      </c>
      <c r="J660" s="2">
        <f>ABS(F660-E660)</f>
        <v>10</v>
      </c>
      <c r="K660" s="29">
        <f>J660/E660</f>
        <v>6.7567567567567571E-2</v>
      </c>
      <c r="L660" s="2">
        <f>ABS(G660-E660)</f>
        <v>7</v>
      </c>
      <c r="M660" s="50">
        <f>(L660/E660)</f>
        <v>4.72972972972973E-2</v>
      </c>
      <c r="N660" s="2">
        <v>147</v>
      </c>
      <c r="O660" s="11">
        <f t="shared" si="20"/>
        <v>1</v>
      </c>
      <c r="P660" s="29">
        <f t="shared" si="21"/>
        <v>6.7567567567567571E-3</v>
      </c>
    </row>
    <row r="661" spans="1:16" x14ac:dyDescent="0.35">
      <c r="A661" s="2" t="s">
        <v>43</v>
      </c>
      <c r="B661" s="2" t="s">
        <v>44</v>
      </c>
      <c r="C661" s="2" t="s">
        <v>38</v>
      </c>
      <c r="D661" s="2" t="s">
        <v>23</v>
      </c>
      <c r="E661" s="2">
        <v>103</v>
      </c>
      <c r="F661" s="2">
        <v>92</v>
      </c>
      <c r="G661" s="2">
        <v>103</v>
      </c>
      <c r="H661" s="2">
        <v>0</v>
      </c>
      <c r="I661" s="2">
        <v>1</v>
      </c>
      <c r="J661" s="2">
        <f>ABS(F661-E661)</f>
        <v>11</v>
      </c>
      <c r="K661" s="29">
        <f>J661/E661</f>
        <v>0.10679611650485436</v>
      </c>
      <c r="L661" s="2">
        <f>ABS(G661-E661)</f>
        <v>0</v>
      </c>
      <c r="M661" s="50">
        <f>(L661/E661)</f>
        <v>0</v>
      </c>
      <c r="N661" s="2">
        <v>88</v>
      </c>
      <c r="O661" s="11">
        <f t="shared" si="20"/>
        <v>15</v>
      </c>
      <c r="P661" s="29">
        <f t="shared" si="21"/>
        <v>0.14563106796116504</v>
      </c>
    </row>
    <row r="662" spans="1:16" x14ac:dyDescent="0.35">
      <c r="A662" s="2" t="s">
        <v>43</v>
      </c>
      <c r="B662" s="2" t="s">
        <v>44</v>
      </c>
      <c r="C662" s="2" t="s">
        <v>38</v>
      </c>
      <c r="D662" s="2" t="s">
        <v>24</v>
      </c>
      <c r="E662" s="2">
        <v>184</v>
      </c>
      <c r="F662" s="2">
        <v>187</v>
      </c>
      <c r="G662" s="2">
        <v>182</v>
      </c>
      <c r="H662" s="2">
        <v>0</v>
      </c>
      <c r="I662" s="2">
        <v>0</v>
      </c>
      <c r="J662" s="2">
        <f>ABS(F662-E662)</f>
        <v>3</v>
      </c>
      <c r="K662" s="29">
        <f>J662/E662</f>
        <v>1.6304347826086956E-2</v>
      </c>
      <c r="L662" s="2">
        <f>ABS(G662-E662)</f>
        <v>2</v>
      </c>
      <c r="M662" s="50">
        <f>(L662/E662)</f>
        <v>1.0869565217391304E-2</v>
      </c>
      <c r="N662" s="2">
        <v>180</v>
      </c>
      <c r="O662" s="11">
        <f t="shared" si="20"/>
        <v>4</v>
      </c>
      <c r="P662" s="29">
        <f t="shared" si="21"/>
        <v>2.1739130434782608E-2</v>
      </c>
    </row>
    <row r="663" spans="1:16" x14ac:dyDescent="0.35">
      <c r="A663" s="2" t="s">
        <v>43</v>
      </c>
      <c r="B663" s="2" t="s">
        <v>44</v>
      </c>
      <c r="C663" s="2" t="s">
        <v>38</v>
      </c>
      <c r="D663" s="2" t="s">
        <v>25</v>
      </c>
      <c r="E663" s="2">
        <v>228</v>
      </c>
      <c r="F663" s="2">
        <v>208</v>
      </c>
      <c r="G663" s="2">
        <v>224</v>
      </c>
      <c r="H663" s="2">
        <v>0</v>
      </c>
      <c r="I663" s="2">
        <v>0</v>
      </c>
      <c r="J663" s="2">
        <f>ABS(F663-E663)</f>
        <v>20</v>
      </c>
      <c r="K663" s="29">
        <f>J663/E663</f>
        <v>8.771929824561403E-2</v>
      </c>
      <c r="L663" s="2">
        <f>ABS(G663-E663)</f>
        <v>4</v>
      </c>
      <c r="M663" s="50">
        <f>(L663/E663)</f>
        <v>1.7543859649122806E-2</v>
      </c>
      <c r="N663" s="2">
        <v>212</v>
      </c>
      <c r="O663" s="11">
        <f t="shared" si="20"/>
        <v>16</v>
      </c>
      <c r="P663" s="29">
        <f t="shared" si="21"/>
        <v>7.0175438596491224E-2</v>
      </c>
    </row>
    <row r="664" spans="1:16" x14ac:dyDescent="0.35">
      <c r="A664" s="2" t="s">
        <v>43</v>
      </c>
      <c r="B664" s="2" t="s">
        <v>44</v>
      </c>
      <c r="C664" s="2" t="s">
        <v>38</v>
      </c>
      <c r="D664" s="2" t="s">
        <v>26</v>
      </c>
      <c r="E664" s="2">
        <v>196</v>
      </c>
      <c r="F664" s="2">
        <v>218</v>
      </c>
      <c r="G664" s="2">
        <v>180</v>
      </c>
      <c r="H664" s="2">
        <v>0</v>
      </c>
      <c r="I664" s="2">
        <v>0</v>
      </c>
      <c r="J664" s="2">
        <f>ABS(F664-E664)</f>
        <v>22</v>
      </c>
      <c r="K664" s="29">
        <f>J664/E664</f>
        <v>0.11224489795918367</v>
      </c>
      <c r="L664" s="2">
        <f>ABS(G664-E664)</f>
        <v>16</v>
      </c>
      <c r="M664" s="50">
        <f>(L664/E664)</f>
        <v>8.1632653061224483E-2</v>
      </c>
      <c r="N664" s="2">
        <v>208</v>
      </c>
      <c r="O664" s="11">
        <f t="shared" si="20"/>
        <v>12</v>
      </c>
      <c r="P664" s="29">
        <f t="shared" si="21"/>
        <v>6.1224489795918366E-2</v>
      </c>
    </row>
    <row r="665" spans="1:16" x14ac:dyDescent="0.35">
      <c r="A665" s="2" t="s">
        <v>43</v>
      </c>
      <c r="B665" s="2" t="s">
        <v>44</v>
      </c>
      <c r="C665" s="2" t="s">
        <v>38</v>
      </c>
      <c r="D665" s="2" t="s">
        <v>27</v>
      </c>
      <c r="E665" s="2">
        <v>209</v>
      </c>
      <c r="F665" s="2">
        <v>224</v>
      </c>
      <c r="G665" s="2">
        <v>202</v>
      </c>
      <c r="H665" s="2">
        <v>0</v>
      </c>
      <c r="I665" s="2">
        <v>0</v>
      </c>
      <c r="J665" s="2">
        <f>ABS(F665-E665)</f>
        <v>15</v>
      </c>
      <c r="K665" s="29">
        <f>J665/E665</f>
        <v>7.1770334928229665E-2</v>
      </c>
      <c r="L665" s="2">
        <f>ABS(G665-E665)</f>
        <v>7</v>
      </c>
      <c r="M665" s="50">
        <f>(L665/E665)</f>
        <v>3.3492822966507178E-2</v>
      </c>
      <c r="N665" s="2">
        <v>207</v>
      </c>
      <c r="O665" s="11">
        <f t="shared" si="20"/>
        <v>2</v>
      </c>
      <c r="P665" s="29">
        <f t="shared" si="21"/>
        <v>9.5693779904306216E-3</v>
      </c>
    </row>
    <row r="666" spans="1:16" x14ac:dyDescent="0.35">
      <c r="A666" s="2" t="s">
        <v>43</v>
      </c>
      <c r="B666" s="2" t="s">
        <v>44</v>
      </c>
      <c r="C666" s="2" t="s">
        <v>38</v>
      </c>
      <c r="D666" s="2" t="s">
        <v>28</v>
      </c>
      <c r="E666" s="2">
        <v>196</v>
      </c>
      <c r="F666" s="2">
        <v>207</v>
      </c>
      <c r="G666" s="2">
        <v>189</v>
      </c>
      <c r="H666" s="2">
        <v>1</v>
      </c>
      <c r="I666" s="2">
        <v>0</v>
      </c>
      <c r="J666" s="2">
        <f>ABS(F666-E666)</f>
        <v>11</v>
      </c>
      <c r="K666" s="29">
        <f>J666/E666</f>
        <v>5.6122448979591837E-2</v>
      </c>
      <c r="L666" s="2">
        <f>ABS(G666-E666)</f>
        <v>7</v>
      </c>
      <c r="M666" s="50">
        <f>(L666/E666)</f>
        <v>3.5714285714285712E-2</v>
      </c>
      <c r="N666" s="2">
        <v>193</v>
      </c>
      <c r="O666" s="11">
        <f t="shared" si="20"/>
        <v>3</v>
      </c>
      <c r="P666" s="29">
        <f t="shared" si="21"/>
        <v>1.5306122448979591E-2</v>
      </c>
    </row>
    <row r="667" spans="1:16" x14ac:dyDescent="0.35">
      <c r="A667" s="2" t="s">
        <v>43</v>
      </c>
      <c r="B667" s="2" t="s">
        <v>44</v>
      </c>
      <c r="C667" s="2" t="s">
        <v>38</v>
      </c>
      <c r="D667" s="2" t="s">
        <v>29</v>
      </c>
      <c r="E667" s="2">
        <v>179</v>
      </c>
      <c r="F667" s="2">
        <v>201</v>
      </c>
      <c r="G667" s="2">
        <v>167</v>
      </c>
      <c r="H667" s="2">
        <v>0</v>
      </c>
      <c r="I667" s="2">
        <v>0</v>
      </c>
      <c r="J667" s="2">
        <f>ABS(F667-E667)</f>
        <v>22</v>
      </c>
      <c r="K667" s="29">
        <f>J667/E667</f>
        <v>0.12290502793296089</v>
      </c>
      <c r="L667" s="2">
        <f>ABS(G667-E667)</f>
        <v>12</v>
      </c>
      <c r="M667" s="50">
        <f>(L667/E667)</f>
        <v>6.7039106145251395E-2</v>
      </c>
      <c r="N667" s="2">
        <v>180</v>
      </c>
      <c r="O667" s="11">
        <f t="shared" si="20"/>
        <v>1</v>
      </c>
      <c r="P667" s="29">
        <f t="shared" si="21"/>
        <v>5.5865921787709499E-3</v>
      </c>
    </row>
    <row r="668" spans="1:16" x14ac:dyDescent="0.35">
      <c r="A668" s="2" t="s">
        <v>43</v>
      </c>
      <c r="B668" s="2" t="s">
        <v>44</v>
      </c>
      <c r="C668" s="2" t="s">
        <v>38</v>
      </c>
      <c r="D668" s="2" t="s">
        <v>30</v>
      </c>
      <c r="E668" s="2">
        <v>176</v>
      </c>
      <c r="F668" s="2">
        <v>192</v>
      </c>
      <c r="G668" s="2">
        <v>173</v>
      </c>
      <c r="H668" s="2">
        <v>0</v>
      </c>
      <c r="I668" s="2">
        <v>0</v>
      </c>
      <c r="J668" s="2">
        <f>ABS(F668-E668)</f>
        <v>16</v>
      </c>
      <c r="K668" s="29">
        <f>J668/E668</f>
        <v>9.0909090909090912E-2</v>
      </c>
      <c r="L668" s="2">
        <f>ABS(G668-E668)</f>
        <v>3</v>
      </c>
      <c r="M668" s="50">
        <f>(L668/E668)</f>
        <v>1.7045454545454544E-2</v>
      </c>
      <c r="N668" s="2">
        <v>174</v>
      </c>
      <c r="O668" s="11">
        <f t="shared" si="20"/>
        <v>2</v>
      </c>
      <c r="P668" s="29">
        <f t="shared" si="21"/>
        <v>1.1363636363636364E-2</v>
      </c>
    </row>
    <row r="669" spans="1:16" x14ac:dyDescent="0.35">
      <c r="A669" s="2" t="s">
        <v>43</v>
      </c>
      <c r="B669" s="2" t="s">
        <v>44</v>
      </c>
      <c r="C669" s="2" t="s">
        <v>38</v>
      </c>
      <c r="D669" s="2" t="s">
        <v>31</v>
      </c>
      <c r="E669" s="2">
        <v>141</v>
      </c>
      <c r="F669" s="2">
        <v>131</v>
      </c>
      <c r="G669" s="2">
        <v>145</v>
      </c>
      <c r="H669" s="2">
        <v>0</v>
      </c>
      <c r="I669" s="2">
        <v>0</v>
      </c>
      <c r="J669" s="2">
        <f>ABS(F669-E669)</f>
        <v>10</v>
      </c>
      <c r="K669" s="29">
        <f>J669/E669</f>
        <v>7.0921985815602842E-2</v>
      </c>
      <c r="L669" s="2">
        <f>ABS(G669-E669)</f>
        <v>4</v>
      </c>
      <c r="M669" s="50">
        <f>(L669/E669)</f>
        <v>2.8368794326241134E-2</v>
      </c>
      <c r="N669" s="2">
        <v>136</v>
      </c>
      <c r="O669" s="11">
        <f t="shared" si="20"/>
        <v>5</v>
      </c>
      <c r="P669" s="29">
        <f t="shared" si="21"/>
        <v>3.5460992907801421E-2</v>
      </c>
    </row>
    <row r="670" spans="1:16" x14ac:dyDescent="0.35">
      <c r="A670" s="2" t="s">
        <v>43</v>
      </c>
      <c r="B670" s="2" t="s">
        <v>44</v>
      </c>
      <c r="C670" s="2" t="s">
        <v>38</v>
      </c>
      <c r="D670" s="2" t="s">
        <v>32</v>
      </c>
      <c r="E670" s="2">
        <v>130</v>
      </c>
      <c r="F670" s="2">
        <v>140</v>
      </c>
      <c r="G670" s="2">
        <v>127</v>
      </c>
      <c r="H670" s="2">
        <v>0</v>
      </c>
      <c r="I670" s="2">
        <v>0</v>
      </c>
      <c r="J670" s="2">
        <f>ABS(F670-E670)</f>
        <v>10</v>
      </c>
      <c r="K670" s="29">
        <f>J670/E670</f>
        <v>7.6923076923076927E-2</v>
      </c>
      <c r="L670" s="2">
        <f>ABS(G670-E670)</f>
        <v>3</v>
      </c>
      <c r="M670" s="50">
        <f>(L670/E670)</f>
        <v>2.3076923076923078E-2</v>
      </c>
      <c r="N670" s="2">
        <v>134</v>
      </c>
      <c r="O670" s="11">
        <f t="shared" si="20"/>
        <v>4</v>
      </c>
      <c r="P670" s="29">
        <f t="shared" si="21"/>
        <v>3.0769230769230771E-2</v>
      </c>
    </row>
    <row r="671" spans="1:16" x14ac:dyDescent="0.35">
      <c r="A671" s="2" t="s">
        <v>43</v>
      </c>
      <c r="B671" s="2" t="s">
        <v>44</v>
      </c>
      <c r="C671" s="2" t="s">
        <v>38</v>
      </c>
      <c r="D671" s="2" t="s">
        <v>33</v>
      </c>
      <c r="E671" s="2">
        <v>140</v>
      </c>
      <c r="F671" s="2">
        <v>142</v>
      </c>
      <c r="G671" s="2">
        <v>135</v>
      </c>
      <c r="H671" s="2">
        <v>0</v>
      </c>
      <c r="I671" s="2">
        <v>0</v>
      </c>
      <c r="J671" s="2">
        <f>ABS(F671-E671)</f>
        <v>2</v>
      </c>
      <c r="K671" s="29">
        <f>J671/E671</f>
        <v>1.4285714285714285E-2</v>
      </c>
      <c r="L671" s="2">
        <f>ABS(G671-E671)</f>
        <v>5</v>
      </c>
      <c r="M671" s="50">
        <f>(L671/E671)</f>
        <v>3.5714285714285712E-2</v>
      </c>
      <c r="N671" s="2">
        <v>131</v>
      </c>
      <c r="O671" s="11">
        <f t="shared" si="20"/>
        <v>9</v>
      </c>
      <c r="P671" s="29">
        <f t="shared" si="21"/>
        <v>6.4285714285714279E-2</v>
      </c>
    </row>
    <row r="672" spans="1:16" x14ac:dyDescent="0.35">
      <c r="A672" s="2" t="s">
        <v>43</v>
      </c>
      <c r="B672" s="2" t="s">
        <v>44</v>
      </c>
      <c r="C672" s="2" t="s">
        <v>38</v>
      </c>
      <c r="D672" s="2" t="s">
        <v>34</v>
      </c>
      <c r="E672" s="2">
        <v>71</v>
      </c>
      <c r="F672" s="2">
        <v>84</v>
      </c>
      <c r="G672" s="2">
        <v>76</v>
      </c>
      <c r="H672" s="2">
        <v>0</v>
      </c>
      <c r="I672" s="2">
        <v>1</v>
      </c>
      <c r="J672" s="2">
        <f>ABS(F672-E672)</f>
        <v>13</v>
      </c>
      <c r="K672" s="29">
        <f>J672/E672</f>
        <v>0.18309859154929578</v>
      </c>
      <c r="L672" s="2">
        <f>ABS(G672-E672)</f>
        <v>5</v>
      </c>
      <c r="M672" s="50">
        <f>(L672/E672)</f>
        <v>7.0422535211267609E-2</v>
      </c>
      <c r="N672" s="2">
        <v>77</v>
      </c>
      <c r="O672" s="11">
        <f t="shared" si="20"/>
        <v>6</v>
      </c>
      <c r="P672" s="29">
        <f t="shared" si="21"/>
        <v>8.4507042253521125E-2</v>
      </c>
    </row>
    <row r="673" spans="1:16" x14ac:dyDescent="0.35">
      <c r="A673" s="2" t="s">
        <v>43</v>
      </c>
      <c r="B673" s="2" t="s">
        <v>44</v>
      </c>
      <c r="C673" s="2" t="s">
        <v>38</v>
      </c>
      <c r="D673" s="2" t="s">
        <v>35</v>
      </c>
      <c r="E673" s="2">
        <v>80</v>
      </c>
      <c r="F673" s="2">
        <v>69</v>
      </c>
      <c r="G673" s="2">
        <v>84</v>
      </c>
      <c r="H673" s="2">
        <v>1</v>
      </c>
      <c r="I673" s="2">
        <v>1</v>
      </c>
      <c r="J673" s="2">
        <f>ABS(F673-E673)</f>
        <v>11</v>
      </c>
      <c r="K673" s="29">
        <f>J673/E673</f>
        <v>0.13750000000000001</v>
      </c>
      <c r="L673" s="2">
        <f>ABS(G673-E673)</f>
        <v>4</v>
      </c>
      <c r="M673" s="50">
        <f>(L673/E673)</f>
        <v>0.05</v>
      </c>
      <c r="N673" s="2">
        <v>67</v>
      </c>
      <c r="O673" s="11">
        <f t="shared" si="20"/>
        <v>13</v>
      </c>
      <c r="P673" s="29">
        <f t="shared" si="21"/>
        <v>0.16250000000000001</v>
      </c>
    </row>
    <row r="674" spans="1:16" x14ac:dyDescent="0.35">
      <c r="A674" s="2" t="s">
        <v>45</v>
      </c>
      <c r="B674" s="2" t="s">
        <v>44</v>
      </c>
      <c r="C674" s="2" t="s">
        <v>11</v>
      </c>
      <c r="D674" s="2" t="s">
        <v>12</v>
      </c>
      <c r="E674" s="2">
        <v>82</v>
      </c>
      <c r="F674" s="2">
        <v>95</v>
      </c>
      <c r="G674" s="2">
        <v>83</v>
      </c>
      <c r="H674" s="2">
        <v>0</v>
      </c>
      <c r="I674" s="2">
        <v>0</v>
      </c>
      <c r="J674" s="2">
        <f>ABS(F674-E674)</f>
        <v>13</v>
      </c>
      <c r="K674" s="29">
        <f>J674/E674</f>
        <v>0.15853658536585366</v>
      </c>
      <c r="L674" s="2">
        <f>ABS(G674-E674)</f>
        <v>1</v>
      </c>
      <c r="M674" s="50">
        <f>(L674/E674)</f>
        <v>1.2195121951219513E-2</v>
      </c>
      <c r="N674" s="2">
        <v>88</v>
      </c>
      <c r="O674" s="11">
        <f t="shared" si="20"/>
        <v>6</v>
      </c>
      <c r="P674" s="29">
        <f t="shared" si="21"/>
        <v>7.3170731707317069E-2</v>
      </c>
    </row>
    <row r="675" spans="1:16" x14ac:dyDescent="0.35">
      <c r="A675" s="2" t="s">
        <v>45</v>
      </c>
      <c r="B675" s="2" t="s">
        <v>44</v>
      </c>
      <c r="C675" s="2" t="s">
        <v>11</v>
      </c>
      <c r="D675" s="2" t="s">
        <v>13</v>
      </c>
      <c r="E675" s="2">
        <v>41</v>
      </c>
      <c r="F675" s="2">
        <v>50</v>
      </c>
      <c r="G675" s="2">
        <v>39</v>
      </c>
      <c r="H675" s="2">
        <v>0</v>
      </c>
      <c r="I675" s="2">
        <v>1</v>
      </c>
      <c r="J675" s="2">
        <f>ABS(F675-E675)</f>
        <v>9</v>
      </c>
      <c r="K675" s="29">
        <f>J675/E675</f>
        <v>0.21951219512195122</v>
      </c>
      <c r="L675" s="2">
        <f>ABS(G675-E675)</f>
        <v>2</v>
      </c>
      <c r="M675" s="50">
        <f>(L675/E675)</f>
        <v>4.878048780487805E-2</v>
      </c>
      <c r="N675" s="2">
        <v>48</v>
      </c>
      <c r="O675" s="11">
        <f t="shared" si="20"/>
        <v>7</v>
      </c>
      <c r="P675" s="29">
        <f t="shared" si="21"/>
        <v>0.17073170731707318</v>
      </c>
    </row>
    <row r="676" spans="1:16" x14ac:dyDescent="0.35">
      <c r="A676" s="2" t="s">
        <v>45</v>
      </c>
      <c r="B676" s="2" t="s">
        <v>44</v>
      </c>
      <c r="C676" s="2" t="s">
        <v>11</v>
      </c>
      <c r="D676" s="2" t="s">
        <v>14</v>
      </c>
      <c r="E676" s="2">
        <v>84</v>
      </c>
      <c r="F676" s="2">
        <v>114</v>
      </c>
      <c r="G676" s="2">
        <v>76</v>
      </c>
      <c r="H676" s="2">
        <v>0</v>
      </c>
      <c r="I676" s="2">
        <v>0</v>
      </c>
      <c r="J676" s="2">
        <f>ABS(F676-E676)</f>
        <v>30</v>
      </c>
      <c r="K676" s="29">
        <f>J676/E676</f>
        <v>0.35714285714285715</v>
      </c>
      <c r="L676" s="2">
        <f>ABS(G676-E676)</f>
        <v>8</v>
      </c>
      <c r="M676" s="50">
        <f>(L676/E676)</f>
        <v>9.5238095238095233E-2</v>
      </c>
      <c r="N676" s="2">
        <v>93</v>
      </c>
      <c r="O676" s="11">
        <f t="shared" si="20"/>
        <v>9</v>
      </c>
      <c r="P676" s="29">
        <f t="shared" si="21"/>
        <v>0.10714285714285714</v>
      </c>
    </row>
    <row r="677" spans="1:16" x14ac:dyDescent="0.35">
      <c r="A677" s="2" t="s">
        <v>45</v>
      </c>
      <c r="B677" s="2" t="s">
        <v>44</v>
      </c>
      <c r="C677" s="2" t="s">
        <v>11</v>
      </c>
      <c r="D677" s="2" t="s">
        <v>15</v>
      </c>
      <c r="E677" s="2">
        <v>72</v>
      </c>
      <c r="F677" s="2">
        <v>92</v>
      </c>
      <c r="G677" s="2">
        <v>71</v>
      </c>
      <c r="H677" s="2">
        <v>1</v>
      </c>
      <c r="I677" s="2">
        <v>0</v>
      </c>
      <c r="J677" s="2">
        <f>ABS(F677-E677)</f>
        <v>20</v>
      </c>
      <c r="K677" s="29">
        <f>J677/E677</f>
        <v>0.27777777777777779</v>
      </c>
      <c r="L677" s="2">
        <f>ABS(G677-E677)</f>
        <v>1</v>
      </c>
      <c r="M677" s="50">
        <f>(L677/E677)</f>
        <v>1.3888888888888888E-2</v>
      </c>
      <c r="N677" s="2">
        <v>79</v>
      </c>
      <c r="O677" s="11">
        <f t="shared" si="20"/>
        <v>7</v>
      </c>
      <c r="P677" s="29">
        <f t="shared" si="21"/>
        <v>9.7222222222222224E-2</v>
      </c>
    </row>
    <row r="678" spans="1:16" x14ac:dyDescent="0.35">
      <c r="A678" s="2" t="s">
        <v>45</v>
      </c>
      <c r="B678" s="2" t="s">
        <v>44</v>
      </c>
      <c r="C678" s="2" t="s">
        <v>11</v>
      </c>
      <c r="D678" s="2" t="s">
        <v>16</v>
      </c>
      <c r="E678" s="2">
        <v>78</v>
      </c>
      <c r="F678" s="2">
        <v>97</v>
      </c>
      <c r="G678" s="2">
        <v>78</v>
      </c>
      <c r="H678" s="2">
        <v>1</v>
      </c>
      <c r="I678" s="2">
        <v>0</v>
      </c>
      <c r="J678" s="2">
        <f>ABS(F678-E678)</f>
        <v>19</v>
      </c>
      <c r="K678" s="29">
        <f>J678/E678</f>
        <v>0.24358974358974358</v>
      </c>
      <c r="L678" s="2">
        <f>ABS(G678-E678)</f>
        <v>0</v>
      </c>
      <c r="M678" s="50">
        <f>(L678/E678)</f>
        <v>0</v>
      </c>
      <c r="N678" s="2">
        <v>82</v>
      </c>
      <c r="O678" s="11">
        <f t="shared" si="20"/>
        <v>4</v>
      </c>
      <c r="P678" s="29">
        <f t="shared" si="21"/>
        <v>5.128205128205128E-2</v>
      </c>
    </row>
    <row r="679" spans="1:16" x14ac:dyDescent="0.35">
      <c r="A679" s="2" t="s">
        <v>45</v>
      </c>
      <c r="B679" s="2" t="s">
        <v>44</v>
      </c>
      <c r="C679" s="2" t="s">
        <v>11</v>
      </c>
      <c r="D679" s="2" t="s">
        <v>17</v>
      </c>
      <c r="E679" s="2">
        <v>73</v>
      </c>
      <c r="F679" s="2">
        <v>92</v>
      </c>
      <c r="G679" s="2">
        <v>67</v>
      </c>
      <c r="H679" s="2">
        <v>0</v>
      </c>
      <c r="I679" s="2">
        <v>0</v>
      </c>
      <c r="J679" s="2">
        <f>ABS(F679-E679)</f>
        <v>19</v>
      </c>
      <c r="K679" s="29">
        <f>J679/E679</f>
        <v>0.26027397260273971</v>
      </c>
      <c r="L679" s="2">
        <f>ABS(G679-E679)</f>
        <v>6</v>
      </c>
      <c r="M679" s="50">
        <f>(L679/E679)</f>
        <v>8.2191780821917804E-2</v>
      </c>
      <c r="N679" s="2">
        <v>76</v>
      </c>
      <c r="O679" s="11">
        <f t="shared" si="20"/>
        <v>3</v>
      </c>
      <c r="P679" s="29">
        <f t="shared" si="21"/>
        <v>4.1095890410958902E-2</v>
      </c>
    </row>
    <row r="680" spans="1:16" x14ac:dyDescent="0.35">
      <c r="A680" s="2" t="s">
        <v>45</v>
      </c>
      <c r="B680" s="2" t="s">
        <v>44</v>
      </c>
      <c r="C680" s="2" t="s">
        <v>11</v>
      </c>
      <c r="D680" s="2" t="s">
        <v>18</v>
      </c>
      <c r="E680" s="2">
        <v>51</v>
      </c>
      <c r="F680" s="2">
        <v>56</v>
      </c>
      <c r="G680" s="2">
        <v>50</v>
      </c>
      <c r="H680" s="2">
        <v>0</v>
      </c>
      <c r="I680" s="2">
        <v>0</v>
      </c>
      <c r="J680" s="2">
        <f>ABS(F680-E680)</f>
        <v>5</v>
      </c>
      <c r="K680" s="29">
        <f>J680/E680</f>
        <v>9.8039215686274508E-2</v>
      </c>
      <c r="L680" s="2">
        <f>ABS(G680-E680)</f>
        <v>1</v>
      </c>
      <c r="M680" s="50">
        <f>(L680/E680)</f>
        <v>1.9607843137254902E-2</v>
      </c>
      <c r="N680" s="2">
        <v>57</v>
      </c>
      <c r="O680" s="11">
        <f t="shared" si="20"/>
        <v>6</v>
      </c>
      <c r="P680" s="29">
        <f t="shared" si="21"/>
        <v>0.11764705882352941</v>
      </c>
    </row>
    <row r="681" spans="1:16" x14ac:dyDescent="0.35">
      <c r="A681" s="2" t="s">
        <v>45</v>
      </c>
      <c r="B681" s="2" t="s">
        <v>44</v>
      </c>
      <c r="C681" s="2" t="s">
        <v>11</v>
      </c>
      <c r="D681" s="2" t="s">
        <v>19</v>
      </c>
      <c r="E681" s="2">
        <v>61</v>
      </c>
      <c r="F681" s="2">
        <v>69</v>
      </c>
      <c r="G681" s="2">
        <v>64</v>
      </c>
      <c r="H681" s="2">
        <v>0</v>
      </c>
      <c r="I681" s="2">
        <v>0</v>
      </c>
      <c r="J681" s="2">
        <f>ABS(F681-E681)</f>
        <v>8</v>
      </c>
      <c r="K681" s="29">
        <f>J681/E681</f>
        <v>0.13114754098360656</v>
      </c>
      <c r="L681" s="2">
        <f>ABS(G681-E681)</f>
        <v>3</v>
      </c>
      <c r="M681" s="50">
        <f>(L681/E681)</f>
        <v>4.9180327868852458E-2</v>
      </c>
      <c r="N681" s="2">
        <v>61</v>
      </c>
      <c r="O681" s="11">
        <f t="shared" si="20"/>
        <v>0</v>
      </c>
      <c r="P681" s="29">
        <f t="shared" si="21"/>
        <v>0</v>
      </c>
    </row>
    <row r="682" spans="1:16" x14ac:dyDescent="0.35">
      <c r="A682" s="2" t="s">
        <v>45</v>
      </c>
      <c r="B682" s="2" t="s">
        <v>44</v>
      </c>
      <c r="C682" s="2" t="s">
        <v>11</v>
      </c>
      <c r="D682" s="2" t="s">
        <v>20</v>
      </c>
      <c r="E682" s="2">
        <v>50</v>
      </c>
      <c r="F682" s="2">
        <v>59</v>
      </c>
      <c r="G682" s="2">
        <v>50</v>
      </c>
      <c r="H682" s="2">
        <v>1</v>
      </c>
      <c r="I682" s="2">
        <v>0</v>
      </c>
      <c r="J682" s="2">
        <f>ABS(F682-E682)</f>
        <v>9</v>
      </c>
      <c r="K682" s="29">
        <f>J682/E682</f>
        <v>0.18</v>
      </c>
      <c r="L682" s="2">
        <f>ABS(G682-E682)</f>
        <v>0</v>
      </c>
      <c r="M682" s="50">
        <f>(L682/E682)</f>
        <v>0</v>
      </c>
      <c r="N682" s="2">
        <v>56</v>
      </c>
      <c r="O682" s="11">
        <f t="shared" si="20"/>
        <v>6</v>
      </c>
      <c r="P682" s="29">
        <f t="shared" si="21"/>
        <v>0.12</v>
      </c>
    </row>
    <row r="683" spans="1:16" x14ac:dyDescent="0.35">
      <c r="A683" s="2" t="s">
        <v>45</v>
      </c>
      <c r="B683" s="2" t="s">
        <v>44</v>
      </c>
      <c r="C683" s="2" t="s">
        <v>11</v>
      </c>
      <c r="D683" s="2" t="s">
        <v>21</v>
      </c>
      <c r="E683" s="2">
        <v>54</v>
      </c>
      <c r="F683" s="2">
        <v>77</v>
      </c>
      <c r="G683" s="2">
        <v>56</v>
      </c>
      <c r="H683" s="2">
        <v>0</v>
      </c>
      <c r="I683" s="2">
        <v>0</v>
      </c>
      <c r="J683" s="2">
        <f>ABS(F683-E683)</f>
        <v>23</v>
      </c>
      <c r="K683" s="29">
        <f>J683/E683</f>
        <v>0.42592592592592593</v>
      </c>
      <c r="L683" s="2">
        <f>ABS(G683-E683)</f>
        <v>2</v>
      </c>
      <c r="M683" s="50">
        <f>(L683/E683)</f>
        <v>3.7037037037037035E-2</v>
      </c>
      <c r="N683" s="2">
        <v>64</v>
      </c>
      <c r="O683" s="11">
        <f t="shared" si="20"/>
        <v>10</v>
      </c>
      <c r="P683" s="29">
        <f t="shared" si="21"/>
        <v>0.18518518518518517</v>
      </c>
    </row>
    <row r="684" spans="1:16" x14ac:dyDescent="0.35">
      <c r="A684" s="2" t="s">
        <v>45</v>
      </c>
      <c r="B684" s="2" t="s">
        <v>44</v>
      </c>
      <c r="C684" s="2" t="s">
        <v>11</v>
      </c>
      <c r="D684" s="2" t="s">
        <v>22</v>
      </c>
      <c r="E684" s="2">
        <v>55</v>
      </c>
      <c r="F684" s="2">
        <v>69</v>
      </c>
      <c r="G684" s="2">
        <v>57</v>
      </c>
      <c r="H684" s="2">
        <v>0</v>
      </c>
      <c r="I684" s="2">
        <v>0</v>
      </c>
      <c r="J684" s="2">
        <f>ABS(F684-E684)</f>
        <v>14</v>
      </c>
      <c r="K684" s="29">
        <f>J684/E684</f>
        <v>0.25454545454545452</v>
      </c>
      <c r="L684" s="2">
        <f>ABS(G684-E684)</f>
        <v>2</v>
      </c>
      <c r="M684" s="50">
        <f>(L684/E684)</f>
        <v>3.6363636363636362E-2</v>
      </c>
      <c r="N684" s="2">
        <v>59</v>
      </c>
      <c r="O684" s="11">
        <f t="shared" si="20"/>
        <v>4</v>
      </c>
      <c r="P684" s="29">
        <f t="shared" si="21"/>
        <v>7.2727272727272724E-2</v>
      </c>
    </row>
    <row r="685" spans="1:16" x14ac:dyDescent="0.35">
      <c r="A685" s="2" t="s">
        <v>45</v>
      </c>
      <c r="B685" s="2" t="s">
        <v>44</v>
      </c>
      <c r="C685" s="2" t="s">
        <v>11</v>
      </c>
      <c r="D685" s="2" t="s">
        <v>23</v>
      </c>
      <c r="E685" s="2">
        <v>65</v>
      </c>
      <c r="F685" s="2">
        <v>85</v>
      </c>
      <c r="G685" s="2">
        <v>62</v>
      </c>
      <c r="H685" s="2">
        <v>0</v>
      </c>
      <c r="I685" s="2">
        <v>0</v>
      </c>
      <c r="J685" s="2">
        <f>ABS(F685-E685)</f>
        <v>20</v>
      </c>
      <c r="K685" s="29">
        <f>J685/E685</f>
        <v>0.30769230769230771</v>
      </c>
      <c r="L685" s="2">
        <f>ABS(G685-E685)</f>
        <v>3</v>
      </c>
      <c r="M685" s="50">
        <f>(L685/E685)</f>
        <v>4.6153846153846156E-2</v>
      </c>
      <c r="N685" s="2">
        <v>69</v>
      </c>
      <c r="O685" s="11">
        <f t="shared" si="20"/>
        <v>4</v>
      </c>
      <c r="P685" s="29">
        <f t="shared" si="21"/>
        <v>6.1538461538461542E-2</v>
      </c>
    </row>
    <row r="686" spans="1:16" x14ac:dyDescent="0.35">
      <c r="A686" s="2" t="s">
        <v>45</v>
      </c>
      <c r="B686" s="2" t="s">
        <v>44</v>
      </c>
      <c r="C686" s="2" t="s">
        <v>11</v>
      </c>
      <c r="D686" s="2" t="s">
        <v>24</v>
      </c>
      <c r="E686" s="2">
        <v>78</v>
      </c>
      <c r="F686" s="2">
        <v>104</v>
      </c>
      <c r="G686" s="2">
        <v>74</v>
      </c>
      <c r="H686" s="2">
        <v>0</v>
      </c>
      <c r="I686" s="2">
        <v>0</v>
      </c>
      <c r="J686" s="2">
        <f>ABS(F686-E686)</f>
        <v>26</v>
      </c>
      <c r="K686" s="29">
        <f>J686/E686</f>
        <v>0.33333333333333331</v>
      </c>
      <c r="L686" s="2">
        <f>ABS(G686-E686)</f>
        <v>4</v>
      </c>
      <c r="M686" s="50">
        <f>(L686/E686)</f>
        <v>5.128205128205128E-2</v>
      </c>
      <c r="N686" s="2">
        <v>88</v>
      </c>
      <c r="O686" s="11">
        <f t="shared" si="20"/>
        <v>10</v>
      </c>
      <c r="P686" s="29">
        <f t="shared" si="21"/>
        <v>0.12820512820512819</v>
      </c>
    </row>
    <row r="687" spans="1:16" x14ac:dyDescent="0.35">
      <c r="A687" s="2" t="s">
        <v>45</v>
      </c>
      <c r="B687" s="2" t="s">
        <v>44</v>
      </c>
      <c r="C687" s="2" t="s">
        <v>11</v>
      </c>
      <c r="D687" s="2" t="s">
        <v>25</v>
      </c>
      <c r="E687" s="2">
        <v>71</v>
      </c>
      <c r="F687" s="2">
        <v>90</v>
      </c>
      <c r="G687" s="2">
        <v>68</v>
      </c>
      <c r="H687" s="2">
        <v>0</v>
      </c>
      <c r="I687" s="2">
        <v>0</v>
      </c>
      <c r="J687" s="2">
        <f>ABS(F687-E687)</f>
        <v>19</v>
      </c>
      <c r="K687" s="29">
        <f>J687/E687</f>
        <v>0.26760563380281688</v>
      </c>
      <c r="L687" s="2">
        <f>ABS(G687-E687)</f>
        <v>3</v>
      </c>
      <c r="M687" s="50">
        <f>(L687/E687)</f>
        <v>4.2253521126760563E-2</v>
      </c>
      <c r="N687" s="2">
        <v>74</v>
      </c>
      <c r="O687" s="11">
        <f t="shared" si="20"/>
        <v>3</v>
      </c>
      <c r="P687" s="29">
        <f t="shared" si="21"/>
        <v>4.2253521126760563E-2</v>
      </c>
    </row>
    <row r="688" spans="1:16" x14ac:dyDescent="0.35">
      <c r="A688" s="2" t="s">
        <v>45</v>
      </c>
      <c r="B688" s="2" t="s">
        <v>44</v>
      </c>
      <c r="C688" s="2" t="s">
        <v>11</v>
      </c>
      <c r="D688" s="2" t="s">
        <v>26</v>
      </c>
      <c r="E688" s="2">
        <v>70</v>
      </c>
      <c r="F688" s="2">
        <v>71</v>
      </c>
      <c r="G688" s="2">
        <v>70</v>
      </c>
      <c r="H688" s="2">
        <v>0</v>
      </c>
      <c r="I688" s="2">
        <v>0</v>
      </c>
      <c r="J688" s="2">
        <f>ABS(F688-E688)</f>
        <v>1</v>
      </c>
      <c r="K688" s="29">
        <f>J688/E688</f>
        <v>1.4285714285714285E-2</v>
      </c>
      <c r="L688" s="2">
        <f>ABS(G688-E688)</f>
        <v>0</v>
      </c>
      <c r="M688" s="50">
        <f>(L688/E688)</f>
        <v>0</v>
      </c>
      <c r="N688" s="2">
        <v>68</v>
      </c>
      <c r="O688" s="11">
        <f t="shared" si="20"/>
        <v>2</v>
      </c>
      <c r="P688" s="29">
        <f t="shared" si="21"/>
        <v>2.8571428571428571E-2</v>
      </c>
    </row>
    <row r="689" spans="1:16" x14ac:dyDescent="0.35">
      <c r="A689" s="2" t="s">
        <v>45</v>
      </c>
      <c r="B689" s="2" t="s">
        <v>44</v>
      </c>
      <c r="C689" s="2" t="s">
        <v>11</v>
      </c>
      <c r="D689" s="2" t="s">
        <v>27</v>
      </c>
      <c r="E689" s="2">
        <v>64</v>
      </c>
      <c r="F689" s="2">
        <v>62</v>
      </c>
      <c r="G689" s="2">
        <v>63</v>
      </c>
      <c r="H689" s="2">
        <v>0</v>
      </c>
      <c r="I689" s="2">
        <v>0</v>
      </c>
      <c r="J689" s="2">
        <f>ABS(F689-E689)</f>
        <v>2</v>
      </c>
      <c r="K689" s="29">
        <f>J689/E689</f>
        <v>3.125E-2</v>
      </c>
      <c r="L689" s="2">
        <f>ABS(G689-E689)</f>
        <v>1</v>
      </c>
      <c r="M689" s="50">
        <f>(L689/E689)</f>
        <v>1.5625E-2</v>
      </c>
      <c r="N689" s="2">
        <v>65</v>
      </c>
      <c r="O689" s="11">
        <f t="shared" si="20"/>
        <v>1</v>
      </c>
      <c r="P689" s="29">
        <f t="shared" si="21"/>
        <v>1.5625E-2</v>
      </c>
    </row>
    <row r="690" spans="1:16" x14ac:dyDescent="0.35">
      <c r="A690" s="2" t="s">
        <v>45</v>
      </c>
      <c r="B690" s="2" t="s">
        <v>44</v>
      </c>
      <c r="C690" s="2" t="s">
        <v>11</v>
      </c>
      <c r="D690" s="2" t="s">
        <v>28</v>
      </c>
      <c r="E690" s="2">
        <v>74</v>
      </c>
      <c r="F690" s="2">
        <v>80</v>
      </c>
      <c r="G690" s="2">
        <v>76</v>
      </c>
      <c r="H690" s="2">
        <v>1</v>
      </c>
      <c r="I690" s="2">
        <v>0</v>
      </c>
      <c r="J690" s="2">
        <f>ABS(F690-E690)</f>
        <v>6</v>
      </c>
      <c r="K690" s="29">
        <f>J690/E690</f>
        <v>8.1081081081081086E-2</v>
      </c>
      <c r="L690" s="2">
        <f>ABS(G690-E690)</f>
        <v>2</v>
      </c>
      <c r="M690" s="50">
        <f>(L690/E690)</f>
        <v>2.7027027027027029E-2</v>
      </c>
      <c r="N690" s="2">
        <v>71</v>
      </c>
      <c r="O690" s="11">
        <f t="shared" si="20"/>
        <v>3</v>
      </c>
      <c r="P690" s="29">
        <f t="shared" si="21"/>
        <v>4.0540540540540543E-2</v>
      </c>
    </row>
    <row r="691" spans="1:16" x14ac:dyDescent="0.35">
      <c r="A691" s="2" t="s">
        <v>45</v>
      </c>
      <c r="B691" s="2" t="s">
        <v>44</v>
      </c>
      <c r="C691" s="2" t="s">
        <v>11</v>
      </c>
      <c r="D691" s="2" t="s">
        <v>29</v>
      </c>
      <c r="E691" s="2">
        <v>36</v>
      </c>
      <c r="F691" s="2">
        <v>38</v>
      </c>
      <c r="G691" s="2">
        <v>35</v>
      </c>
      <c r="H691" s="2">
        <v>0</v>
      </c>
      <c r="I691" s="2">
        <v>1</v>
      </c>
      <c r="J691" s="2">
        <f>ABS(F691-E691)</f>
        <v>2</v>
      </c>
      <c r="K691" s="29">
        <f>J691/E691</f>
        <v>5.5555555555555552E-2</v>
      </c>
      <c r="L691" s="2">
        <f>ABS(G691-E691)</f>
        <v>1</v>
      </c>
      <c r="M691" s="50">
        <f>(L691/E691)</f>
        <v>2.7777777777777776E-2</v>
      </c>
      <c r="N691" s="2">
        <v>34</v>
      </c>
      <c r="O691" s="11">
        <f t="shared" si="20"/>
        <v>2</v>
      </c>
      <c r="P691" s="29">
        <f t="shared" si="21"/>
        <v>5.5555555555555552E-2</v>
      </c>
    </row>
    <row r="692" spans="1:16" x14ac:dyDescent="0.35">
      <c r="A692" s="2" t="s">
        <v>45</v>
      </c>
      <c r="B692" s="2" t="s">
        <v>44</v>
      </c>
      <c r="C692" s="2" t="s">
        <v>11</v>
      </c>
      <c r="D692" s="2" t="s">
        <v>30</v>
      </c>
      <c r="E692" s="2">
        <v>58</v>
      </c>
      <c r="F692" s="2">
        <v>70</v>
      </c>
      <c r="G692" s="2">
        <v>57</v>
      </c>
      <c r="H692" s="2">
        <v>0</v>
      </c>
      <c r="I692" s="2">
        <v>0</v>
      </c>
      <c r="J692" s="2">
        <f>ABS(F692-E692)</f>
        <v>12</v>
      </c>
      <c r="K692" s="29">
        <f>J692/E692</f>
        <v>0.20689655172413793</v>
      </c>
      <c r="L692" s="2">
        <f>ABS(G692-E692)</f>
        <v>1</v>
      </c>
      <c r="M692" s="50">
        <f>(L692/E692)</f>
        <v>1.7241379310344827E-2</v>
      </c>
      <c r="N692" s="2">
        <v>60</v>
      </c>
      <c r="O692" s="11">
        <f t="shared" si="20"/>
        <v>2</v>
      </c>
      <c r="P692" s="29">
        <f t="shared" si="21"/>
        <v>3.4482758620689655E-2</v>
      </c>
    </row>
    <row r="693" spans="1:16" x14ac:dyDescent="0.35">
      <c r="A693" s="2" t="s">
        <v>45</v>
      </c>
      <c r="B693" s="2" t="s">
        <v>44</v>
      </c>
      <c r="C693" s="2" t="s">
        <v>11</v>
      </c>
      <c r="D693" s="2" t="s">
        <v>31</v>
      </c>
      <c r="E693" s="2">
        <v>55</v>
      </c>
      <c r="F693" s="2">
        <v>69</v>
      </c>
      <c r="G693" s="2">
        <v>51</v>
      </c>
      <c r="H693" s="2">
        <v>0</v>
      </c>
      <c r="I693" s="2">
        <v>0</v>
      </c>
      <c r="J693" s="2">
        <f>ABS(F693-E693)</f>
        <v>14</v>
      </c>
      <c r="K693" s="29">
        <f>J693/E693</f>
        <v>0.25454545454545452</v>
      </c>
      <c r="L693" s="2">
        <f>ABS(G693-E693)</f>
        <v>4</v>
      </c>
      <c r="M693" s="50">
        <f>(L693/E693)</f>
        <v>7.2727272727272724E-2</v>
      </c>
      <c r="N693" s="2">
        <v>58</v>
      </c>
      <c r="O693" s="11">
        <f t="shared" si="20"/>
        <v>3</v>
      </c>
      <c r="P693" s="29">
        <f t="shared" si="21"/>
        <v>5.4545454545454543E-2</v>
      </c>
    </row>
    <row r="694" spans="1:16" x14ac:dyDescent="0.35">
      <c r="A694" s="2" t="s">
        <v>45</v>
      </c>
      <c r="B694" s="2" t="s">
        <v>44</v>
      </c>
      <c r="C694" s="2" t="s">
        <v>11</v>
      </c>
      <c r="D694" s="2" t="s">
        <v>32</v>
      </c>
      <c r="E694" s="2">
        <v>57</v>
      </c>
      <c r="F694" s="2">
        <v>74</v>
      </c>
      <c r="G694" s="2">
        <v>61</v>
      </c>
      <c r="H694" s="2">
        <v>0</v>
      </c>
      <c r="I694" s="2">
        <v>0</v>
      </c>
      <c r="J694" s="2">
        <f>ABS(F694-E694)</f>
        <v>17</v>
      </c>
      <c r="K694" s="29">
        <f>J694/E694</f>
        <v>0.2982456140350877</v>
      </c>
      <c r="L694" s="2">
        <f>ABS(G694-E694)</f>
        <v>4</v>
      </c>
      <c r="M694" s="50">
        <f>(L694/E694)</f>
        <v>7.0175438596491224E-2</v>
      </c>
      <c r="N694" s="2">
        <v>62</v>
      </c>
      <c r="O694" s="11">
        <f t="shared" si="20"/>
        <v>5</v>
      </c>
      <c r="P694" s="29">
        <f t="shared" si="21"/>
        <v>8.771929824561403E-2</v>
      </c>
    </row>
    <row r="695" spans="1:16" x14ac:dyDescent="0.35">
      <c r="A695" s="2" t="s">
        <v>45</v>
      </c>
      <c r="B695" s="2" t="s">
        <v>44</v>
      </c>
      <c r="C695" s="2" t="s">
        <v>11</v>
      </c>
      <c r="D695" s="2" t="s">
        <v>33</v>
      </c>
      <c r="E695" s="2">
        <v>43</v>
      </c>
      <c r="F695" s="2">
        <v>41</v>
      </c>
      <c r="G695" s="2">
        <v>43</v>
      </c>
      <c r="H695" s="2">
        <v>0</v>
      </c>
      <c r="I695" s="2">
        <v>0</v>
      </c>
      <c r="J695" s="2">
        <f>ABS(F695-E695)</f>
        <v>2</v>
      </c>
      <c r="K695" s="29">
        <f>J695/E695</f>
        <v>4.6511627906976744E-2</v>
      </c>
      <c r="L695" s="2">
        <f>ABS(G695-E695)</f>
        <v>0</v>
      </c>
      <c r="M695" s="50">
        <f>(L695/E695)</f>
        <v>0</v>
      </c>
      <c r="N695" s="2">
        <v>40</v>
      </c>
      <c r="O695" s="11">
        <f t="shared" si="20"/>
        <v>3</v>
      </c>
      <c r="P695" s="29">
        <f t="shared" si="21"/>
        <v>6.9767441860465115E-2</v>
      </c>
    </row>
    <row r="696" spans="1:16" x14ac:dyDescent="0.35">
      <c r="A696" s="2" t="s">
        <v>45</v>
      </c>
      <c r="B696" s="2" t="s">
        <v>44</v>
      </c>
      <c r="C696" s="2" t="s">
        <v>11</v>
      </c>
      <c r="D696" s="2" t="s">
        <v>34</v>
      </c>
      <c r="E696" s="2">
        <v>57</v>
      </c>
      <c r="F696" s="2">
        <v>69</v>
      </c>
      <c r="G696" s="2">
        <v>58</v>
      </c>
      <c r="H696" s="2">
        <v>1</v>
      </c>
      <c r="I696" s="2">
        <v>0</v>
      </c>
      <c r="J696" s="2">
        <f>ABS(F696-E696)</f>
        <v>12</v>
      </c>
      <c r="K696" s="29">
        <f>J696/E696</f>
        <v>0.21052631578947367</v>
      </c>
      <c r="L696" s="2">
        <f>ABS(G696-E696)</f>
        <v>1</v>
      </c>
      <c r="M696" s="50">
        <f>(L696/E696)</f>
        <v>1.7543859649122806E-2</v>
      </c>
      <c r="N696" s="2">
        <v>58</v>
      </c>
      <c r="O696" s="11">
        <f t="shared" si="20"/>
        <v>1</v>
      </c>
      <c r="P696" s="29">
        <f t="shared" si="21"/>
        <v>1.7543859649122806E-2</v>
      </c>
    </row>
    <row r="697" spans="1:16" x14ac:dyDescent="0.35">
      <c r="A697" s="2" t="s">
        <v>45</v>
      </c>
      <c r="B697" s="2" t="s">
        <v>44</v>
      </c>
      <c r="C697" s="2" t="s">
        <v>11</v>
      </c>
      <c r="D697" s="2" t="s">
        <v>35</v>
      </c>
      <c r="E697" s="2">
        <v>75</v>
      </c>
      <c r="F697" s="2">
        <v>90</v>
      </c>
      <c r="G697" s="2">
        <v>85</v>
      </c>
      <c r="H697" s="2">
        <v>1</v>
      </c>
      <c r="I697" s="2">
        <v>0</v>
      </c>
      <c r="J697" s="2">
        <f>ABS(F697-E697)</f>
        <v>15</v>
      </c>
      <c r="K697" s="29">
        <f>J697/E697</f>
        <v>0.2</v>
      </c>
      <c r="L697" s="2">
        <f>ABS(G697-E697)</f>
        <v>10</v>
      </c>
      <c r="M697" s="50">
        <f>(L697/E697)</f>
        <v>0.13333333333333333</v>
      </c>
      <c r="N697" s="2">
        <v>75</v>
      </c>
      <c r="O697" s="11">
        <f t="shared" si="20"/>
        <v>0</v>
      </c>
      <c r="P697" s="29">
        <f t="shared" si="21"/>
        <v>0</v>
      </c>
    </row>
    <row r="698" spans="1:16" x14ac:dyDescent="0.35">
      <c r="A698" s="2" t="s">
        <v>45</v>
      </c>
      <c r="B698" s="2" t="s">
        <v>44</v>
      </c>
      <c r="C698" s="2" t="s">
        <v>36</v>
      </c>
      <c r="D698" s="2" t="s">
        <v>12</v>
      </c>
      <c r="E698" s="2">
        <v>237</v>
      </c>
      <c r="F698" s="2">
        <v>253</v>
      </c>
      <c r="G698" s="2">
        <v>234</v>
      </c>
      <c r="H698" s="2">
        <v>1</v>
      </c>
      <c r="I698" s="2">
        <v>0</v>
      </c>
      <c r="J698" s="2">
        <f>ABS(F698-E698)</f>
        <v>16</v>
      </c>
      <c r="K698" s="29">
        <f>J698/E698</f>
        <v>6.7510548523206745E-2</v>
      </c>
      <c r="L698" s="2">
        <f>ABS(G698-E698)</f>
        <v>3</v>
      </c>
      <c r="M698" s="50">
        <f>(L698/E698)</f>
        <v>1.2658227848101266E-2</v>
      </c>
      <c r="N698" s="2">
        <v>230</v>
      </c>
      <c r="O698" s="11">
        <f t="shared" si="20"/>
        <v>7</v>
      </c>
      <c r="P698" s="29">
        <f t="shared" si="21"/>
        <v>2.9535864978902954E-2</v>
      </c>
    </row>
    <row r="699" spans="1:16" x14ac:dyDescent="0.35">
      <c r="A699" s="2" t="s">
        <v>45</v>
      </c>
      <c r="B699" s="2" t="s">
        <v>44</v>
      </c>
      <c r="C699" s="2" t="s">
        <v>36</v>
      </c>
      <c r="D699" s="2" t="s">
        <v>13</v>
      </c>
      <c r="E699" s="2">
        <v>220</v>
      </c>
      <c r="F699" s="2">
        <v>212</v>
      </c>
      <c r="G699" s="2">
        <v>216</v>
      </c>
      <c r="H699" s="2">
        <v>1</v>
      </c>
      <c r="I699" s="2">
        <v>0</v>
      </c>
      <c r="J699" s="2">
        <f>ABS(F699-E699)</f>
        <v>8</v>
      </c>
      <c r="K699" s="29">
        <f>J699/E699</f>
        <v>3.6363636363636362E-2</v>
      </c>
      <c r="L699" s="2">
        <f>ABS(G699-E699)</f>
        <v>4</v>
      </c>
      <c r="M699" s="50">
        <f>(L699/E699)</f>
        <v>1.8181818181818181E-2</v>
      </c>
      <c r="N699" s="2">
        <v>212</v>
      </c>
      <c r="O699" s="11">
        <f t="shared" si="20"/>
        <v>8</v>
      </c>
      <c r="P699" s="29">
        <f t="shared" si="21"/>
        <v>3.6363636363636362E-2</v>
      </c>
    </row>
    <row r="700" spans="1:16" x14ac:dyDescent="0.35">
      <c r="A700" s="2" t="s">
        <v>45</v>
      </c>
      <c r="B700" s="2" t="s">
        <v>44</v>
      </c>
      <c r="C700" s="2" t="s">
        <v>36</v>
      </c>
      <c r="D700" s="2" t="s">
        <v>14</v>
      </c>
      <c r="E700" s="2">
        <v>195</v>
      </c>
      <c r="F700" s="2">
        <v>187</v>
      </c>
      <c r="G700" s="2">
        <v>198</v>
      </c>
      <c r="H700" s="2">
        <v>1</v>
      </c>
      <c r="I700" s="2">
        <v>0</v>
      </c>
      <c r="J700" s="2">
        <f>ABS(F700-E700)</f>
        <v>8</v>
      </c>
      <c r="K700" s="29">
        <f>J700/E700</f>
        <v>4.1025641025641026E-2</v>
      </c>
      <c r="L700" s="2">
        <f>ABS(G700-E700)</f>
        <v>3</v>
      </c>
      <c r="M700" s="50">
        <f>(L700/E700)</f>
        <v>1.5384615384615385E-2</v>
      </c>
      <c r="N700" s="2">
        <v>190</v>
      </c>
      <c r="O700" s="11">
        <f t="shared" si="20"/>
        <v>5</v>
      </c>
      <c r="P700" s="29">
        <f t="shared" si="21"/>
        <v>2.564102564102564E-2</v>
      </c>
    </row>
    <row r="701" spans="1:16" x14ac:dyDescent="0.35">
      <c r="A701" s="2" t="s">
        <v>45</v>
      </c>
      <c r="B701" s="2" t="s">
        <v>44</v>
      </c>
      <c r="C701" s="2" t="s">
        <v>36</v>
      </c>
      <c r="D701" s="2" t="s">
        <v>15</v>
      </c>
      <c r="E701" s="2">
        <v>232</v>
      </c>
      <c r="F701" s="2">
        <v>272</v>
      </c>
      <c r="G701" s="2">
        <v>254</v>
      </c>
      <c r="H701" s="2">
        <v>1</v>
      </c>
      <c r="I701" s="2">
        <v>0</v>
      </c>
      <c r="J701" s="2">
        <f>ABS(F701-E701)</f>
        <v>40</v>
      </c>
      <c r="K701" s="29">
        <f>J701/E701</f>
        <v>0.17241379310344829</v>
      </c>
      <c r="L701" s="2">
        <f>ABS(G701-E701)</f>
        <v>22</v>
      </c>
      <c r="M701" s="50">
        <f>(L701/E701)</f>
        <v>9.4827586206896547E-2</v>
      </c>
      <c r="N701" s="2">
        <v>226</v>
      </c>
      <c r="O701" s="11">
        <f t="shared" si="20"/>
        <v>6</v>
      </c>
      <c r="P701" s="29">
        <f t="shared" si="21"/>
        <v>2.5862068965517241E-2</v>
      </c>
    </row>
    <row r="702" spans="1:16" x14ac:dyDescent="0.35">
      <c r="A702" s="2" t="s">
        <v>45</v>
      </c>
      <c r="B702" s="2" t="s">
        <v>44</v>
      </c>
      <c r="C702" s="2" t="s">
        <v>36</v>
      </c>
      <c r="D702" s="2" t="s">
        <v>16</v>
      </c>
      <c r="E702" s="2">
        <v>101</v>
      </c>
      <c r="F702" s="2">
        <v>100</v>
      </c>
      <c r="G702" s="2">
        <v>95</v>
      </c>
      <c r="H702" s="2">
        <v>1</v>
      </c>
      <c r="I702" s="2">
        <v>1</v>
      </c>
      <c r="J702" s="2">
        <f>ABS(F702-E702)</f>
        <v>1</v>
      </c>
      <c r="K702" s="29">
        <f>J702/E702</f>
        <v>9.9009900990099011E-3</v>
      </c>
      <c r="L702" s="2">
        <f>ABS(G702-E702)</f>
        <v>6</v>
      </c>
      <c r="M702" s="50">
        <f>(L702/E702)</f>
        <v>5.9405940594059403E-2</v>
      </c>
      <c r="N702" s="2">
        <v>98</v>
      </c>
      <c r="O702" s="11">
        <f t="shared" si="20"/>
        <v>3</v>
      </c>
      <c r="P702" s="29">
        <f t="shared" si="21"/>
        <v>2.9702970297029702E-2</v>
      </c>
    </row>
    <row r="703" spans="1:16" x14ac:dyDescent="0.35">
      <c r="A703" s="2" t="s">
        <v>45</v>
      </c>
      <c r="B703" s="2" t="s">
        <v>44</v>
      </c>
      <c r="C703" s="2" t="s">
        <v>36</v>
      </c>
      <c r="D703" s="2" t="s">
        <v>17</v>
      </c>
      <c r="E703" s="2">
        <v>162</v>
      </c>
      <c r="F703" s="2">
        <v>192</v>
      </c>
      <c r="G703" s="2">
        <v>154</v>
      </c>
      <c r="H703" s="2">
        <v>0</v>
      </c>
      <c r="I703" s="2">
        <v>0</v>
      </c>
      <c r="J703" s="2">
        <f>ABS(F703-E703)</f>
        <v>30</v>
      </c>
      <c r="K703" s="29">
        <f>J703/E703</f>
        <v>0.18518518518518517</v>
      </c>
      <c r="L703" s="2">
        <f>ABS(G703-E703)</f>
        <v>8</v>
      </c>
      <c r="M703" s="50">
        <f>(L703/E703)</f>
        <v>4.9382716049382713E-2</v>
      </c>
      <c r="N703" s="2">
        <v>174</v>
      </c>
      <c r="O703" s="11">
        <f t="shared" si="20"/>
        <v>12</v>
      </c>
      <c r="P703" s="29">
        <f t="shared" si="21"/>
        <v>7.407407407407407E-2</v>
      </c>
    </row>
    <row r="704" spans="1:16" x14ac:dyDescent="0.35">
      <c r="A704" s="2" t="s">
        <v>45</v>
      </c>
      <c r="B704" s="2" t="s">
        <v>44</v>
      </c>
      <c r="C704" s="2" t="s">
        <v>36</v>
      </c>
      <c r="D704" s="2" t="s">
        <v>18</v>
      </c>
      <c r="E704" s="2">
        <v>153</v>
      </c>
      <c r="F704" s="2">
        <v>177</v>
      </c>
      <c r="G704" s="2">
        <v>166</v>
      </c>
      <c r="H704" s="2">
        <v>0</v>
      </c>
      <c r="I704" s="2">
        <v>0</v>
      </c>
      <c r="J704" s="2">
        <f>ABS(F704-E704)</f>
        <v>24</v>
      </c>
      <c r="K704" s="29">
        <f>J704/E704</f>
        <v>0.15686274509803921</v>
      </c>
      <c r="L704" s="2">
        <f>ABS(G704-E704)</f>
        <v>13</v>
      </c>
      <c r="M704" s="50">
        <f>(L704/E704)</f>
        <v>8.4967320261437912E-2</v>
      </c>
      <c r="N704" s="2">
        <v>161</v>
      </c>
      <c r="O704" s="11">
        <f t="shared" si="20"/>
        <v>8</v>
      </c>
      <c r="P704" s="29">
        <f t="shared" si="21"/>
        <v>5.2287581699346407E-2</v>
      </c>
    </row>
    <row r="705" spans="1:16" x14ac:dyDescent="0.35">
      <c r="A705" s="2" t="s">
        <v>45</v>
      </c>
      <c r="B705" s="2" t="s">
        <v>44</v>
      </c>
      <c r="C705" s="2" t="s">
        <v>36</v>
      </c>
      <c r="D705" s="2" t="s">
        <v>19</v>
      </c>
      <c r="E705" s="2">
        <v>141</v>
      </c>
      <c r="F705" s="2">
        <v>157</v>
      </c>
      <c r="G705" s="2">
        <v>139</v>
      </c>
      <c r="H705" s="2">
        <v>0</v>
      </c>
      <c r="I705" s="2">
        <v>0</v>
      </c>
      <c r="J705" s="2">
        <f>ABS(F705-E705)</f>
        <v>16</v>
      </c>
      <c r="K705" s="29">
        <f>J705/E705</f>
        <v>0.11347517730496454</v>
      </c>
      <c r="L705" s="2">
        <f>ABS(G705-E705)</f>
        <v>2</v>
      </c>
      <c r="M705" s="50">
        <f>(L705/E705)</f>
        <v>1.4184397163120567E-2</v>
      </c>
      <c r="N705" s="2">
        <v>145</v>
      </c>
      <c r="O705" s="11">
        <f t="shared" si="20"/>
        <v>4</v>
      </c>
      <c r="P705" s="29">
        <f t="shared" si="21"/>
        <v>2.8368794326241134E-2</v>
      </c>
    </row>
    <row r="706" spans="1:16" x14ac:dyDescent="0.35">
      <c r="A706" s="2" t="s">
        <v>45</v>
      </c>
      <c r="B706" s="2" t="s">
        <v>44</v>
      </c>
      <c r="C706" s="2" t="s">
        <v>36</v>
      </c>
      <c r="D706" s="2" t="s">
        <v>20</v>
      </c>
      <c r="E706" s="2">
        <v>129</v>
      </c>
      <c r="F706" s="2">
        <v>143</v>
      </c>
      <c r="G706" s="2">
        <v>138</v>
      </c>
      <c r="H706" s="2">
        <v>0</v>
      </c>
      <c r="I706" s="2">
        <v>0</v>
      </c>
      <c r="J706" s="2">
        <f>ABS(F706-E706)</f>
        <v>14</v>
      </c>
      <c r="K706" s="29">
        <f>J706/E706</f>
        <v>0.10852713178294573</v>
      </c>
      <c r="L706" s="2">
        <f>ABS(G706-E706)</f>
        <v>9</v>
      </c>
      <c r="M706" s="50">
        <f>(L706/E706)</f>
        <v>6.9767441860465115E-2</v>
      </c>
      <c r="N706" s="2">
        <v>126</v>
      </c>
      <c r="O706" s="11">
        <f t="shared" si="20"/>
        <v>3</v>
      </c>
      <c r="P706" s="29">
        <f t="shared" si="21"/>
        <v>2.3255813953488372E-2</v>
      </c>
    </row>
    <row r="707" spans="1:16" x14ac:dyDescent="0.35">
      <c r="A707" s="2" t="s">
        <v>45</v>
      </c>
      <c r="B707" s="2" t="s">
        <v>44</v>
      </c>
      <c r="C707" s="2" t="s">
        <v>36</v>
      </c>
      <c r="D707" s="2" t="s">
        <v>21</v>
      </c>
      <c r="E707" s="2">
        <v>143</v>
      </c>
      <c r="F707" s="2">
        <v>144</v>
      </c>
      <c r="G707" s="2">
        <v>131</v>
      </c>
      <c r="H707" s="2">
        <v>0</v>
      </c>
      <c r="I707" s="2">
        <v>0</v>
      </c>
      <c r="J707" s="2">
        <f>ABS(F707-E707)</f>
        <v>1</v>
      </c>
      <c r="K707" s="29">
        <f>J707/E707</f>
        <v>6.993006993006993E-3</v>
      </c>
      <c r="L707" s="2">
        <f>ABS(G707-E707)</f>
        <v>12</v>
      </c>
      <c r="M707" s="50">
        <f>(L707/E707)</f>
        <v>8.3916083916083919E-2</v>
      </c>
      <c r="N707" s="2">
        <v>136</v>
      </c>
      <c r="O707" s="11">
        <f t="shared" ref="O707:O770" si="22">ABS(N707-E707)</f>
        <v>7</v>
      </c>
      <c r="P707" s="29">
        <f t="shared" ref="P707:P770" si="23">O707/E707</f>
        <v>4.8951048951048952E-2</v>
      </c>
    </row>
    <row r="708" spans="1:16" x14ac:dyDescent="0.35">
      <c r="A708" s="2" t="s">
        <v>45</v>
      </c>
      <c r="B708" s="2" t="s">
        <v>44</v>
      </c>
      <c r="C708" s="2" t="s">
        <v>36</v>
      </c>
      <c r="D708" s="2" t="s">
        <v>22</v>
      </c>
      <c r="E708" s="2">
        <v>142</v>
      </c>
      <c r="F708" s="2">
        <v>152</v>
      </c>
      <c r="G708" s="2">
        <v>152</v>
      </c>
      <c r="H708" s="2">
        <v>1</v>
      </c>
      <c r="I708" s="2">
        <v>0</v>
      </c>
      <c r="J708" s="2">
        <f>ABS(F708-E708)</f>
        <v>10</v>
      </c>
      <c r="K708" s="29">
        <f>J708/E708</f>
        <v>7.0422535211267609E-2</v>
      </c>
      <c r="L708" s="2">
        <f>ABS(G708-E708)</f>
        <v>10</v>
      </c>
      <c r="M708" s="50">
        <f>(L708/E708)</f>
        <v>7.0422535211267609E-2</v>
      </c>
      <c r="N708" s="2">
        <v>152</v>
      </c>
      <c r="O708" s="11">
        <f t="shared" si="22"/>
        <v>10</v>
      </c>
      <c r="P708" s="29">
        <f t="shared" si="23"/>
        <v>7.0422535211267609E-2</v>
      </c>
    </row>
    <row r="709" spans="1:16" x14ac:dyDescent="0.35">
      <c r="A709" s="2" t="s">
        <v>45</v>
      </c>
      <c r="B709" s="2" t="s">
        <v>44</v>
      </c>
      <c r="C709" s="2" t="s">
        <v>36</v>
      </c>
      <c r="D709" s="2" t="s">
        <v>23</v>
      </c>
      <c r="E709" s="2">
        <v>171</v>
      </c>
      <c r="F709" s="2">
        <v>162</v>
      </c>
      <c r="G709" s="2">
        <v>156</v>
      </c>
      <c r="H709" s="2">
        <v>0</v>
      </c>
      <c r="I709" s="2">
        <v>0</v>
      </c>
      <c r="J709" s="2">
        <f>ABS(F709-E709)</f>
        <v>9</v>
      </c>
      <c r="K709" s="29">
        <f>J709/E709</f>
        <v>5.2631578947368418E-2</v>
      </c>
      <c r="L709" s="2">
        <f>ABS(G709-E709)</f>
        <v>15</v>
      </c>
      <c r="M709" s="50">
        <f>(L709/E709)</f>
        <v>8.771929824561403E-2</v>
      </c>
      <c r="N709" s="2">
        <v>156</v>
      </c>
      <c r="O709" s="11">
        <f t="shared" si="22"/>
        <v>15</v>
      </c>
      <c r="P709" s="29">
        <f t="shared" si="23"/>
        <v>8.771929824561403E-2</v>
      </c>
    </row>
    <row r="710" spans="1:16" x14ac:dyDescent="0.35">
      <c r="A710" s="2" t="s">
        <v>45</v>
      </c>
      <c r="B710" s="2" t="s">
        <v>44</v>
      </c>
      <c r="C710" s="2" t="s">
        <v>36</v>
      </c>
      <c r="D710" s="2" t="s">
        <v>24</v>
      </c>
      <c r="E710" s="2">
        <v>166</v>
      </c>
      <c r="F710" s="2">
        <v>174</v>
      </c>
      <c r="G710" s="2">
        <v>173</v>
      </c>
      <c r="H710" s="2">
        <v>0</v>
      </c>
      <c r="I710" s="2">
        <v>0</v>
      </c>
      <c r="J710" s="2">
        <f>ABS(F710-E710)</f>
        <v>8</v>
      </c>
      <c r="K710" s="29">
        <f>J710/E710</f>
        <v>4.8192771084337352E-2</v>
      </c>
      <c r="L710" s="2">
        <f>ABS(G710-E710)</f>
        <v>7</v>
      </c>
      <c r="M710" s="50">
        <f>(L710/E710)</f>
        <v>4.2168674698795178E-2</v>
      </c>
      <c r="N710" s="2">
        <v>177</v>
      </c>
      <c r="O710" s="11">
        <f t="shared" si="22"/>
        <v>11</v>
      </c>
      <c r="P710" s="29">
        <f t="shared" si="23"/>
        <v>6.6265060240963861E-2</v>
      </c>
    </row>
    <row r="711" spans="1:16" x14ac:dyDescent="0.35">
      <c r="A711" s="2" t="s">
        <v>45</v>
      </c>
      <c r="B711" s="2" t="s">
        <v>44</v>
      </c>
      <c r="C711" s="2" t="s">
        <v>36</v>
      </c>
      <c r="D711" s="2" t="s">
        <v>25</v>
      </c>
      <c r="E711" s="2">
        <v>187</v>
      </c>
      <c r="F711" s="2">
        <v>197</v>
      </c>
      <c r="G711" s="2">
        <v>188</v>
      </c>
      <c r="H711" s="2">
        <v>1</v>
      </c>
      <c r="I711" s="2">
        <v>0</v>
      </c>
      <c r="J711" s="2">
        <f>ABS(F711-E711)</f>
        <v>10</v>
      </c>
      <c r="K711" s="29">
        <f>J711/E711</f>
        <v>5.3475935828877004E-2</v>
      </c>
      <c r="L711" s="2">
        <f>ABS(G711-E711)</f>
        <v>1</v>
      </c>
      <c r="M711" s="50">
        <f>(L711/E711)</f>
        <v>5.3475935828877002E-3</v>
      </c>
      <c r="N711" s="2">
        <v>188</v>
      </c>
      <c r="O711" s="11">
        <f t="shared" si="22"/>
        <v>1</v>
      </c>
      <c r="P711" s="29">
        <f t="shared" si="23"/>
        <v>5.3475935828877002E-3</v>
      </c>
    </row>
    <row r="712" spans="1:16" x14ac:dyDescent="0.35">
      <c r="A712" s="2" t="s">
        <v>45</v>
      </c>
      <c r="B712" s="2" t="s">
        <v>44</v>
      </c>
      <c r="C712" s="2" t="s">
        <v>36</v>
      </c>
      <c r="D712" s="2" t="s">
        <v>26</v>
      </c>
      <c r="E712" s="2">
        <v>252</v>
      </c>
      <c r="F712" s="2">
        <v>299</v>
      </c>
      <c r="G712" s="2">
        <v>266</v>
      </c>
      <c r="H712" s="2">
        <v>0</v>
      </c>
      <c r="I712" s="2">
        <v>0</v>
      </c>
      <c r="J712" s="2">
        <f>ABS(F712-E712)</f>
        <v>47</v>
      </c>
      <c r="K712" s="29">
        <f>J712/E712</f>
        <v>0.18650793650793651</v>
      </c>
      <c r="L712" s="2">
        <f>ABS(G712-E712)</f>
        <v>14</v>
      </c>
      <c r="M712" s="50">
        <f>(L712/E712)</f>
        <v>5.5555555555555552E-2</v>
      </c>
      <c r="N712" s="2">
        <v>232</v>
      </c>
      <c r="O712" s="11">
        <f t="shared" si="22"/>
        <v>20</v>
      </c>
      <c r="P712" s="29">
        <f t="shared" si="23"/>
        <v>7.9365079365079361E-2</v>
      </c>
    </row>
    <row r="713" spans="1:16" x14ac:dyDescent="0.35">
      <c r="A713" s="2" t="s">
        <v>45</v>
      </c>
      <c r="B713" s="2" t="s">
        <v>44</v>
      </c>
      <c r="C713" s="2" t="s">
        <v>36</v>
      </c>
      <c r="D713" s="2" t="s">
        <v>27</v>
      </c>
      <c r="E713" s="2">
        <v>236</v>
      </c>
      <c r="F713" s="2">
        <v>266</v>
      </c>
      <c r="G713" s="2">
        <v>217</v>
      </c>
      <c r="H713" s="2">
        <v>0</v>
      </c>
      <c r="I713" s="2">
        <v>0</v>
      </c>
      <c r="J713" s="2">
        <f>ABS(F713-E713)</f>
        <v>30</v>
      </c>
      <c r="K713" s="29">
        <f>J713/E713</f>
        <v>0.1271186440677966</v>
      </c>
      <c r="L713" s="2">
        <f>ABS(G713-E713)</f>
        <v>19</v>
      </c>
      <c r="M713" s="50">
        <f>(L713/E713)</f>
        <v>8.050847457627118E-2</v>
      </c>
      <c r="N713" s="2">
        <v>229</v>
      </c>
      <c r="O713" s="11">
        <f t="shared" si="22"/>
        <v>7</v>
      </c>
      <c r="P713" s="29">
        <f t="shared" si="23"/>
        <v>2.9661016949152543E-2</v>
      </c>
    </row>
    <row r="714" spans="1:16" x14ac:dyDescent="0.35">
      <c r="A714" s="2" t="s">
        <v>45</v>
      </c>
      <c r="B714" s="2" t="s">
        <v>44</v>
      </c>
      <c r="C714" s="2" t="s">
        <v>36</v>
      </c>
      <c r="D714" s="2" t="s">
        <v>28</v>
      </c>
      <c r="E714" s="2">
        <v>98</v>
      </c>
      <c r="F714" s="2">
        <v>106</v>
      </c>
      <c r="G714" s="2">
        <v>106</v>
      </c>
      <c r="H714" s="2">
        <v>1</v>
      </c>
      <c r="I714" s="2">
        <v>1</v>
      </c>
      <c r="J714" s="2">
        <f>ABS(F714-E714)</f>
        <v>8</v>
      </c>
      <c r="K714" s="29">
        <f>J714/E714</f>
        <v>8.1632653061224483E-2</v>
      </c>
      <c r="L714" s="2">
        <f>ABS(G714-E714)</f>
        <v>8</v>
      </c>
      <c r="M714" s="50">
        <f>(L714/E714)</f>
        <v>8.1632653061224483E-2</v>
      </c>
      <c r="N714" s="2">
        <v>100</v>
      </c>
      <c r="O714" s="11">
        <f t="shared" si="22"/>
        <v>2</v>
      </c>
      <c r="P714" s="29">
        <f t="shared" si="23"/>
        <v>2.0408163265306121E-2</v>
      </c>
    </row>
    <row r="715" spans="1:16" x14ac:dyDescent="0.35">
      <c r="A715" s="2" t="s">
        <v>45</v>
      </c>
      <c r="B715" s="2" t="s">
        <v>44</v>
      </c>
      <c r="C715" s="2" t="s">
        <v>36</v>
      </c>
      <c r="D715" s="2" t="s">
        <v>29</v>
      </c>
      <c r="E715" s="2">
        <v>196</v>
      </c>
      <c r="F715" s="2">
        <v>209</v>
      </c>
      <c r="G715" s="2">
        <v>193</v>
      </c>
      <c r="H715" s="2">
        <v>0</v>
      </c>
      <c r="I715" s="2">
        <v>0</v>
      </c>
      <c r="J715" s="2">
        <f>ABS(F715-E715)</f>
        <v>13</v>
      </c>
      <c r="K715" s="29">
        <f>J715/E715</f>
        <v>6.6326530612244902E-2</v>
      </c>
      <c r="L715" s="2">
        <f>ABS(G715-E715)</f>
        <v>3</v>
      </c>
      <c r="M715" s="50">
        <f>(L715/E715)</f>
        <v>1.5306122448979591E-2</v>
      </c>
      <c r="N715" s="2">
        <v>191</v>
      </c>
      <c r="O715" s="11">
        <f t="shared" si="22"/>
        <v>5</v>
      </c>
      <c r="P715" s="29">
        <f t="shared" si="23"/>
        <v>2.5510204081632654E-2</v>
      </c>
    </row>
    <row r="716" spans="1:16" x14ac:dyDescent="0.35">
      <c r="A716" s="2" t="s">
        <v>45</v>
      </c>
      <c r="B716" s="2" t="s">
        <v>44</v>
      </c>
      <c r="C716" s="2" t="s">
        <v>36</v>
      </c>
      <c r="D716" s="2" t="s">
        <v>30</v>
      </c>
      <c r="E716" s="2">
        <v>162</v>
      </c>
      <c r="F716" s="2">
        <v>180</v>
      </c>
      <c r="G716" s="2">
        <v>158</v>
      </c>
      <c r="H716" s="2">
        <v>0</v>
      </c>
      <c r="I716" s="2">
        <v>0</v>
      </c>
      <c r="J716" s="2">
        <f>ABS(F716-E716)</f>
        <v>18</v>
      </c>
      <c r="K716" s="29">
        <f>J716/E716</f>
        <v>0.1111111111111111</v>
      </c>
      <c r="L716" s="2">
        <f>ABS(G716-E716)</f>
        <v>4</v>
      </c>
      <c r="M716" s="50">
        <f>(L716/E716)</f>
        <v>2.4691358024691357E-2</v>
      </c>
      <c r="N716" s="2">
        <v>169</v>
      </c>
      <c r="O716" s="11">
        <f t="shared" si="22"/>
        <v>7</v>
      </c>
      <c r="P716" s="29">
        <f t="shared" si="23"/>
        <v>4.3209876543209874E-2</v>
      </c>
    </row>
    <row r="717" spans="1:16" x14ac:dyDescent="0.35">
      <c r="A717" s="2" t="s">
        <v>45</v>
      </c>
      <c r="B717" s="2" t="s">
        <v>44</v>
      </c>
      <c r="C717" s="2" t="s">
        <v>36</v>
      </c>
      <c r="D717" s="2" t="s">
        <v>31</v>
      </c>
      <c r="E717" s="2">
        <v>78</v>
      </c>
      <c r="F717" s="2">
        <v>76</v>
      </c>
      <c r="G717" s="2">
        <v>77</v>
      </c>
      <c r="H717" s="2">
        <v>0</v>
      </c>
      <c r="I717" s="2">
        <v>1</v>
      </c>
      <c r="J717" s="2">
        <f>ABS(F717-E717)</f>
        <v>2</v>
      </c>
      <c r="K717" s="29">
        <f>J717/E717</f>
        <v>2.564102564102564E-2</v>
      </c>
      <c r="L717" s="2">
        <f>ABS(G717-E717)</f>
        <v>1</v>
      </c>
      <c r="M717" s="50">
        <f>(L717/E717)</f>
        <v>1.282051282051282E-2</v>
      </c>
      <c r="N717" s="2">
        <v>73</v>
      </c>
      <c r="O717" s="11">
        <f t="shared" si="22"/>
        <v>5</v>
      </c>
      <c r="P717" s="29">
        <f t="shared" si="23"/>
        <v>6.4102564102564097E-2</v>
      </c>
    </row>
    <row r="718" spans="1:16" x14ac:dyDescent="0.35">
      <c r="A718" s="2" t="s">
        <v>45</v>
      </c>
      <c r="B718" s="2" t="s">
        <v>44</v>
      </c>
      <c r="C718" s="2" t="s">
        <v>36</v>
      </c>
      <c r="D718" s="2" t="s">
        <v>32</v>
      </c>
      <c r="E718" s="2">
        <v>61</v>
      </c>
      <c r="F718" s="2">
        <v>62</v>
      </c>
      <c r="G718" s="2">
        <v>66</v>
      </c>
      <c r="H718" s="2">
        <v>0</v>
      </c>
      <c r="I718" s="2">
        <v>1</v>
      </c>
      <c r="J718" s="2">
        <f>ABS(F718-E718)</f>
        <v>1</v>
      </c>
      <c r="K718" s="29">
        <f>J718/E718</f>
        <v>1.6393442622950821E-2</v>
      </c>
      <c r="L718" s="2">
        <f>ABS(G718-E718)</f>
        <v>5</v>
      </c>
      <c r="M718" s="50">
        <f>(L718/E718)</f>
        <v>8.1967213114754092E-2</v>
      </c>
      <c r="N718" s="2">
        <v>62</v>
      </c>
      <c r="O718" s="11">
        <f t="shared" si="22"/>
        <v>1</v>
      </c>
      <c r="P718" s="29">
        <f t="shared" si="23"/>
        <v>1.6393442622950821E-2</v>
      </c>
    </row>
    <row r="719" spans="1:16" x14ac:dyDescent="0.35">
      <c r="A719" s="2" t="s">
        <v>45</v>
      </c>
      <c r="B719" s="2" t="s">
        <v>44</v>
      </c>
      <c r="C719" s="2" t="s">
        <v>36</v>
      </c>
      <c r="D719" s="2" t="s">
        <v>33</v>
      </c>
      <c r="E719" s="2">
        <v>143</v>
      </c>
      <c r="F719" s="2">
        <v>174</v>
      </c>
      <c r="G719" s="2">
        <v>152</v>
      </c>
      <c r="H719" s="2">
        <v>0</v>
      </c>
      <c r="I719" s="2">
        <v>0</v>
      </c>
      <c r="J719" s="2">
        <f>ABS(F719-E719)</f>
        <v>31</v>
      </c>
      <c r="K719" s="29">
        <f>J719/E719</f>
        <v>0.21678321678321677</v>
      </c>
      <c r="L719" s="2">
        <f>ABS(G719-E719)</f>
        <v>9</v>
      </c>
      <c r="M719" s="50">
        <f>(L719/E719)</f>
        <v>6.2937062937062943E-2</v>
      </c>
      <c r="N719" s="2">
        <v>154</v>
      </c>
      <c r="O719" s="11">
        <f t="shared" si="22"/>
        <v>11</v>
      </c>
      <c r="P719" s="29">
        <f t="shared" si="23"/>
        <v>7.6923076923076927E-2</v>
      </c>
    </row>
    <row r="720" spans="1:16" x14ac:dyDescent="0.35">
      <c r="A720" s="2" t="s">
        <v>45</v>
      </c>
      <c r="B720" s="2" t="s">
        <v>44</v>
      </c>
      <c r="C720" s="2" t="s">
        <v>36</v>
      </c>
      <c r="D720" s="2" t="s">
        <v>34</v>
      </c>
      <c r="E720" s="2">
        <v>170</v>
      </c>
      <c r="F720" s="2">
        <v>190</v>
      </c>
      <c r="G720" s="2">
        <v>164</v>
      </c>
      <c r="H720" s="2">
        <v>0</v>
      </c>
      <c r="I720" s="2">
        <v>0</v>
      </c>
      <c r="J720" s="2">
        <f>ABS(F720-E720)</f>
        <v>20</v>
      </c>
      <c r="K720" s="29">
        <f>J720/E720</f>
        <v>0.11764705882352941</v>
      </c>
      <c r="L720" s="2">
        <f>ABS(G720-E720)</f>
        <v>6</v>
      </c>
      <c r="M720" s="50">
        <f>(L720/E720)</f>
        <v>3.5294117647058823E-2</v>
      </c>
      <c r="N720" s="2">
        <v>170</v>
      </c>
      <c r="O720" s="11">
        <f t="shared" si="22"/>
        <v>0</v>
      </c>
      <c r="P720" s="29">
        <f t="shared" si="23"/>
        <v>0</v>
      </c>
    </row>
    <row r="721" spans="1:16" x14ac:dyDescent="0.35">
      <c r="A721" s="2" t="s">
        <v>45</v>
      </c>
      <c r="B721" s="2" t="s">
        <v>44</v>
      </c>
      <c r="C721" s="2" t="s">
        <v>36</v>
      </c>
      <c r="D721" s="2" t="s">
        <v>35</v>
      </c>
      <c r="E721" s="2">
        <v>167</v>
      </c>
      <c r="F721" s="2">
        <v>206</v>
      </c>
      <c r="G721" s="2">
        <v>164</v>
      </c>
      <c r="H721" s="2">
        <v>0</v>
      </c>
      <c r="I721" s="2">
        <v>0</v>
      </c>
      <c r="J721" s="2">
        <f>ABS(F721-E721)</f>
        <v>39</v>
      </c>
      <c r="K721" s="29">
        <f>J721/E721</f>
        <v>0.23353293413173654</v>
      </c>
      <c r="L721" s="2">
        <f>ABS(G721-E721)</f>
        <v>3</v>
      </c>
      <c r="M721" s="50">
        <f>(L721/E721)</f>
        <v>1.7964071856287425E-2</v>
      </c>
      <c r="N721" s="2">
        <v>178</v>
      </c>
      <c r="O721" s="11">
        <f t="shared" si="22"/>
        <v>11</v>
      </c>
      <c r="P721" s="29">
        <f t="shared" si="23"/>
        <v>6.5868263473053898E-2</v>
      </c>
    </row>
    <row r="722" spans="1:16" x14ac:dyDescent="0.35">
      <c r="A722" s="2" t="s">
        <v>45</v>
      </c>
      <c r="B722" s="2" t="s">
        <v>44</v>
      </c>
      <c r="C722" s="2" t="s">
        <v>37</v>
      </c>
      <c r="D722" s="2" t="s">
        <v>12</v>
      </c>
      <c r="E722" s="2">
        <v>126</v>
      </c>
      <c r="F722" s="2">
        <v>131</v>
      </c>
      <c r="G722" s="2">
        <v>125</v>
      </c>
      <c r="H722" s="2">
        <v>0</v>
      </c>
      <c r="I722" s="2">
        <v>0</v>
      </c>
      <c r="J722" s="2">
        <f>ABS(F722-E722)</f>
        <v>5</v>
      </c>
      <c r="K722" s="29">
        <f>J722/E722</f>
        <v>3.968253968253968E-2</v>
      </c>
      <c r="L722" s="2">
        <f>ABS(G722-E722)</f>
        <v>1</v>
      </c>
      <c r="M722" s="50">
        <f>(L722/E722)</f>
        <v>7.9365079365079361E-3</v>
      </c>
      <c r="N722" s="2">
        <v>127</v>
      </c>
      <c r="O722" s="11">
        <f t="shared" si="22"/>
        <v>1</v>
      </c>
      <c r="P722" s="29">
        <f t="shared" si="23"/>
        <v>7.9365079365079361E-3</v>
      </c>
    </row>
    <row r="723" spans="1:16" x14ac:dyDescent="0.35">
      <c r="A723" s="2" t="s">
        <v>45</v>
      </c>
      <c r="B723" s="2" t="s">
        <v>44</v>
      </c>
      <c r="C723" s="2" t="s">
        <v>37</v>
      </c>
      <c r="D723" s="2" t="s">
        <v>13</v>
      </c>
      <c r="E723" s="2">
        <v>95</v>
      </c>
      <c r="F723" s="2">
        <v>105</v>
      </c>
      <c r="G723" s="2">
        <v>83</v>
      </c>
      <c r="H723" s="2">
        <v>0</v>
      </c>
      <c r="I723" s="2">
        <v>0</v>
      </c>
      <c r="J723" s="2">
        <f>ABS(F723-E723)</f>
        <v>10</v>
      </c>
      <c r="K723" s="29">
        <f>J723/E723</f>
        <v>0.10526315789473684</v>
      </c>
      <c r="L723" s="2">
        <f>ABS(G723-E723)</f>
        <v>12</v>
      </c>
      <c r="M723" s="50">
        <f>(L723/E723)</f>
        <v>0.12631578947368421</v>
      </c>
      <c r="N723" s="2">
        <v>106</v>
      </c>
      <c r="O723" s="11">
        <f t="shared" si="22"/>
        <v>11</v>
      </c>
      <c r="P723" s="29">
        <f t="shared" si="23"/>
        <v>0.11578947368421053</v>
      </c>
    </row>
    <row r="724" spans="1:16" x14ac:dyDescent="0.35">
      <c r="A724" s="2" t="s">
        <v>45</v>
      </c>
      <c r="B724" s="2" t="s">
        <v>44</v>
      </c>
      <c r="C724" s="2" t="s">
        <v>37</v>
      </c>
      <c r="D724" s="2" t="s">
        <v>14</v>
      </c>
      <c r="E724" s="2">
        <v>70</v>
      </c>
      <c r="F724" s="2">
        <v>70</v>
      </c>
      <c r="G724" s="2">
        <v>65</v>
      </c>
      <c r="H724" s="2">
        <v>0</v>
      </c>
      <c r="I724" s="2">
        <v>1</v>
      </c>
      <c r="J724" s="2">
        <f>ABS(F724-E724)</f>
        <v>0</v>
      </c>
      <c r="K724" s="29">
        <f>J724/E724</f>
        <v>0</v>
      </c>
      <c r="L724" s="2">
        <f>ABS(G724-E724)</f>
        <v>5</v>
      </c>
      <c r="M724" s="50">
        <f>(L724/E724)</f>
        <v>7.1428571428571425E-2</v>
      </c>
      <c r="N724" s="2">
        <v>67</v>
      </c>
      <c r="O724" s="11">
        <f t="shared" si="22"/>
        <v>3</v>
      </c>
      <c r="P724" s="29">
        <f t="shared" si="23"/>
        <v>4.2857142857142858E-2</v>
      </c>
    </row>
    <row r="725" spans="1:16" x14ac:dyDescent="0.35">
      <c r="A725" s="2" t="s">
        <v>45</v>
      </c>
      <c r="B725" s="2" t="s">
        <v>44</v>
      </c>
      <c r="C725" s="2" t="s">
        <v>37</v>
      </c>
      <c r="D725" s="2" t="s">
        <v>15</v>
      </c>
      <c r="E725" s="2">
        <v>121</v>
      </c>
      <c r="F725" s="2">
        <v>125</v>
      </c>
      <c r="G725" s="2">
        <v>129</v>
      </c>
      <c r="H725" s="2">
        <v>1</v>
      </c>
      <c r="I725" s="2">
        <v>0</v>
      </c>
      <c r="J725" s="2">
        <f>ABS(F725-E725)</f>
        <v>4</v>
      </c>
      <c r="K725" s="29">
        <f>J725/E725</f>
        <v>3.3057851239669422E-2</v>
      </c>
      <c r="L725" s="2">
        <f>ABS(G725-E725)</f>
        <v>8</v>
      </c>
      <c r="M725" s="50">
        <f>(L725/E725)</f>
        <v>6.6115702479338845E-2</v>
      </c>
      <c r="N725" s="2">
        <v>112</v>
      </c>
      <c r="O725" s="11">
        <f t="shared" si="22"/>
        <v>9</v>
      </c>
      <c r="P725" s="29">
        <f t="shared" si="23"/>
        <v>7.43801652892562E-2</v>
      </c>
    </row>
    <row r="726" spans="1:16" x14ac:dyDescent="0.35">
      <c r="A726" s="2" t="s">
        <v>45</v>
      </c>
      <c r="B726" s="2" t="s">
        <v>44</v>
      </c>
      <c r="C726" s="2" t="s">
        <v>37</v>
      </c>
      <c r="D726" s="2" t="s">
        <v>16</v>
      </c>
      <c r="E726" s="2">
        <v>117</v>
      </c>
      <c r="F726" s="2">
        <v>141</v>
      </c>
      <c r="G726" s="2">
        <v>110</v>
      </c>
      <c r="H726" s="2">
        <v>1</v>
      </c>
      <c r="I726" s="2">
        <v>0</v>
      </c>
      <c r="J726" s="2">
        <f>ABS(F726-E726)</f>
        <v>24</v>
      </c>
      <c r="K726" s="29">
        <f>J726/E726</f>
        <v>0.20512820512820512</v>
      </c>
      <c r="L726" s="2">
        <f>ABS(G726-E726)</f>
        <v>7</v>
      </c>
      <c r="M726" s="50">
        <f>(L726/E726)</f>
        <v>5.9829059829059832E-2</v>
      </c>
      <c r="N726" s="2">
        <v>120</v>
      </c>
      <c r="O726" s="11">
        <f t="shared" si="22"/>
        <v>3</v>
      </c>
      <c r="P726" s="29">
        <f t="shared" si="23"/>
        <v>2.564102564102564E-2</v>
      </c>
    </row>
    <row r="727" spans="1:16" x14ac:dyDescent="0.35">
      <c r="A727" s="2" t="s">
        <v>45</v>
      </c>
      <c r="B727" s="2" t="s">
        <v>44</v>
      </c>
      <c r="C727" s="2" t="s">
        <v>37</v>
      </c>
      <c r="D727" s="2" t="s">
        <v>17</v>
      </c>
      <c r="E727" s="2">
        <v>108</v>
      </c>
      <c r="F727" s="2">
        <v>132</v>
      </c>
      <c r="G727" s="2">
        <v>108</v>
      </c>
      <c r="H727" s="2">
        <v>1</v>
      </c>
      <c r="I727" s="2">
        <v>0</v>
      </c>
      <c r="J727" s="2">
        <f>ABS(F727-E727)</f>
        <v>24</v>
      </c>
      <c r="K727" s="29">
        <f>J727/E727</f>
        <v>0.22222222222222221</v>
      </c>
      <c r="L727" s="2">
        <f>ABS(G727-E727)</f>
        <v>0</v>
      </c>
      <c r="M727" s="50">
        <f>(L727/E727)</f>
        <v>0</v>
      </c>
      <c r="N727" s="2">
        <v>116</v>
      </c>
      <c r="O727" s="11">
        <f t="shared" si="22"/>
        <v>8</v>
      </c>
      <c r="P727" s="29">
        <f t="shared" si="23"/>
        <v>7.407407407407407E-2</v>
      </c>
    </row>
    <row r="728" spans="1:16" x14ac:dyDescent="0.35">
      <c r="A728" s="2" t="s">
        <v>45</v>
      </c>
      <c r="B728" s="2" t="s">
        <v>44</v>
      </c>
      <c r="C728" s="2" t="s">
        <v>37</v>
      </c>
      <c r="D728" s="2" t="s">
        <v>18</v>
      </c>
      <c r="E728" s="2">
        <v>80</v>
      </c>
      <c r="F728" s="2">
        <v>99</v>
      </c>
      <c r="G728" s="2">
        <v>78</v>
      </c>
      <c r="H728" s="2">
        <v>0</v>
      </c>
      <c r="I728" s="2">
        <v>0</v>
      </c>
      <c r="J728" s="2">
        <f>ABS(F728-E728)</f>
        <v>19</v>
      </c>
      <c r="K728" s="29">
        <f>J728/E728</f>
        <v>0.23749999999999999</v>
      </c>
      <c r="L728" s="2">
        <f>ABS(G728-E728)</f>
        <v>2</v>
      </c>
      <c r="M728" s="50">
        <f>(L728/E728)</f>
        <v>2.5000000000000001E-2</v>
      </c>
      <c r="N728" s="2">
        <v>92</v>
      </c>
      <c r="O728" s="11">
        <f t="shared" si="22"/>
        <v>12</v>
      </c>
      <c r="P728" s="29">
        <f t="shared" si="23"/>
        <v>0.15</v>
      </c>
    </row>
    <row r="729" spans="1:16" x14ac:dyDescent="0.35">
      <c r="A729" s="2" t="s">
        <v>45</v>
      </c>
      <c r="B729" s="2" t="s">
        <v>44</v>
      </c>
      <c r="C729" s="2" t="s">
        <v>37</v>
      </c>
      <c r="D729" s="2" t="s">
        <v>19</v>
      </c>
      <c r="E729" s="2">
        <v>88</v>
      </c>
      <c r="F729" s="2">
        <v>101</v>
      </c>
      <c r="G729" s="2">
        <v>87</v>
      </c>
      <c r="H729" s="2">
        <v>0</v>
      </c>
      <c r="I729" s="2">
        <v>0</v>
      </c>
      <c r="J729" s="2">
        <f>ABS(F729-E729)</f>
        <v>13</v>
      </c>
      <c r="K729" s="29">
        <f>J729/E729</f>
        <v>0.14772727272727273</v>
      </c>
      <c r="L729" s="2">
        <f>ABS(G729-E729)</f>
        <v>1</v>
      </c>
      <c r="M729" s="50">
        <f>(L729/E729)</f>
        <v>1.1363636363636364E-2</v>
      </c>
      <c r="N729" s="2">
        <v>91</v>
      </c>
      <c r="O729" s="11">
        <f t="shared" si="22"/>
        <v>3</v>
      </c>
      <c r="P729" s="29">
        <f t="shared" si="23"/>
        <v>3.4090909090909088E-2</v>
      </c>
    </row>
    <row r="730" spans="1:16" x14ac:dyDescent="0.35">
      <c r="A730" s="2" t="s">
        <v>45</v>
      </c>
      <c r="B730" s="2" t="s">
        <v>44</v>
      </c>
      <c r="C730" s="2" t="s">
        <v>37</v>
      </c>
      <c r="D730" s="2" t="s">
        <v>20</v>
      </c>
      <c r="E730" s="2">
        <v>92</v>
      </c>
      <c r="F730" s="2">
        <v>108</v>
      </c>
      <c r="G730" s="2">
        <v>91</v>
      </c>
      <c r="H730" s="2">
        <v>0</v>
      </c>
      <c r="I730" s="2">
        <v>0</v>
      </c>
      <c r="J730" s="2">
        <f>ABS(F730-E730)</f>
        <v>16</v>
      </c>
      <c r="K730" s="29">
        <f>J730/E730</f>
        <v>0.17391304347826086</v>
      </c>
      <c r="L730" s="2">
        <f>ABS(G730-E730)</f>
        <v>1</v>
      </c>
      <c r="M730" s="50">
        <f>(L730/E730)</f>
        <v>1.0869565217391304E-2</v>
      </c>
      <c r="N730" s="2">
        <v>94</v>
      </c>
      <c r="O730" s="11">
        <f t="shared" si="22"/>
        <v>2</v>
      </c>
      <c r="P730" s="29">
        <f t="shared" si="23"/>
        <v>2.1739130434782608E-2</v>
      </c>
    </row>
    <row r="731" spans="1:16" x14ac:dyDescent="0.35">
      <c r="A731" s="2" t="s">
        <v>45</v>
      </c>
      <c r="B731" s="2" t="s">
        <v>44</v>
      </c>
      <c r="C731" s="2" t="s">
        <v>37</v>
      </c>
      <c r="D731" s="2" t="s">
        <v>21</v>
      </c>
      <c r="E731" s="2">
        <v>99</v>
      </c>
      <c r="F731" s="2">
        <v>105</v>
      </c>
      <c r="G731" s="2">
        <v>102</v>
      </c>
      <c r="H731" s="2">
        <v>1</v>
      </c>
      <c r="I731" s="2">
        <v>0</v>
      </c>
      <c r="J731" s="2">
        <f>ABS(F731-E731)</f>
        <v>6</v>
      </c>
      <c r="K731" s="29">
        <f>J731/E731</f>
        <v>6.0606060606060608E-2</v>
      </c>
      <c r="L731" s="2">
        <f>ABS(G731-E731)</f>
        <v>3</v>
      </c>
      <c r="M731" s="50">
        <f>(L731/E731)</f>
        <v>3.0303030303030304E-2</v>
      </c>
      <c r="N731" s="2">
        <v>94</v>
      </c>
      <c r="O731" s="11">
        <f t="shared" si="22"/>
        <v>5</v>
      </c>
      <c r="P731" s="29">
        <f t="shared" si="23"/>
        <v>5.0505050505050504E-2</v>
      </c>
    </row>
    <row r="732" spans="1:16" x14ac:dyDescent="0.35">
      <c r="A732" s="2" t="s">
        <v>45</v>
      </c>
      <c r="B732" s="2" t="s">
        <v>44</v>
      </c>
      <c r="C732" s="2" t="s">
        <v>37</v>
      </c>
      <c r="D732" s="2" t="s">
        <v>22</v>
      </c>
      <c r="E732" s="2">
        <v>93</v>
      </c>
      <c r="F732" s="2">
        <v>101</v>
      </c>
      <c r="G732" s="2">
        <v>93</v>
      </c>
      <c r="H732" s="2">
        <v>0</v>
      </c>
      <c r="I732" s="2">
        <v>0</v>
      </c>
      <c r="J732" s="2">
        <f>ABS(F732-E732)</f>
        <v>8</v>
      </c>
      <c r="K732" s="29">
        <f>J732/E732</f>
        <v>8.6021505376344093E-2</v>
      </c>
      <c r="L732" s="2">
        <f>ABS(G732-E732)</f>
        <v>0</v>
      </c>
      <c r="M732" s="50">
        <f>(L732/E732)</f>
        <v>0</v>
      </c>
      <c r="N732" s="2">
        <v>94</v>
      </c>
      <c r="O732" s="11">
        <f t="shared" si="22"/>
        <v>1</v>
      </c>
      <c r="P732" s="29">
        <f t="shared" si="23"/>
        <v>1.0752688172043012E-2</v>
      </c>
    </row>
    <row r="733" spans="1:16" x14ac:dyDescent="0.35">
      <c r="A733" s="2" t="s">
        <v>45</v>
      </c>
      <c r="B733" s="2" t="s">
        <v>44</v>
      </c>
      <c r="C733" s="2" t="s">
        <v>37</v>
      </c>
      <c r="D733" s="2" t="s">
        <v>23</v>
      </c>
      <c r="E733" s="2">
        <v>108</v>
      </c>
      <c r="F733" s="2">
        <v>122</v>
      </c>
      <c r="G733" s="2">
        <v>114</v>
      </c>
      <c r="H733" s="2">
        <v>0</v>
      </c>
      <c r="I733" s="2">
        <v>0</v>
      </c>
      <c r="J733" s="2">
        <f>ABS(F733-E733)</f>
        <v>14</v>
      </c>
      <c r="K733" s="29">
        <f>J733/E733</f>
        <v>0.12962962962962962</v>
      </c>
      <c r="L733" s="2">
        <f>ABS(G733-E733)</f>
        <v>6</v>
      </c>
      <c r="M733" s="50">
        <f>(L733/E733)</f>
        <v>5.5555555555555552E-2</v>
      </c>
      <c r="N733" s="2">
        <v>111</v>
      </c>
      <c r="O733" s="11">
        <f t="shared" si="22"/>
        <v>3</v>
      </c>
      <c r="P733" s="29">
        <f t="shared" si="23"/>
        <v>2.7777777777777776E-2</v>
      </c>
    </row>
    <row r="734" spans="1:16" x14ac:dyDescent="0.35">
      <c r="A734" s="2" t="s">
        <v>45</v>
      </c>
      <c r="B734" s="2" t="s">
        <v>44</v>
      </c>
      <c r="C734" s="2" t="s">
        <v>37</v>
      </c>
      <c r="D734" s="2" t="s">
        <v>24</v>
      </c>
      <c r="E734" s="2">
        <v>109</v>
      </c>
      <c r="F734" s="2">
        <v>105</v>
      </c>
      <c r="G734" s="2">
        <v>106</v>
      </c>
      <c r="H734" s="2">
        <v>0</v>
      </c>
      <c r="I734" s="2">
        <v>0</v>
      </c>
      <c r="J734" s="2">
        <f>ABS(F734-E734)</f>
        <v>4</v>
      </c>
      <c r="K734" s="29">
        <f>J734/E734</f>
        <v>3.669724770642202E-2</v>
      </c>
      <c r="L734" s="2">
        <f>ABS(G734-E734)</f>
        <v>3</v>
      </c>
      <c r="M734" s="50">
        <f>(L734/E734)</f>
        <v>2.7522935779816515E-2</v>
      </c>
      <c r="N734" s="2">
        <v>101</v>
      </c>
      <c r="O734" s="11">
        <f t="shared" si="22"/>
        <v>8</v>
      </c>
      <c r="P734" s="29">
        <f t="shared" si="23"/>
        <v>7.3394495412844041E-2</v>
      </c>
    </row>
    <row r="735" spans="1:16" x14ac:dyDescent="0.35">
      <c r="A735" s="2" t="s">
        <v>45</v>
      </c>
      <c r="B735" s="2" t="s">
        <v>44</v>
      </c>
      <c r="C735" s="2" t="s">
        <v>37</v>
      </c>
      <c r="D735" s="2" t="s">
        <v>25</v>
      </c>
      <c r="E735" s="2">
        <v>138</v>
      </c>
      <c r="F735" s="2">
        <v>144</v>
      </c>
      <c r="G735" s="2">
        <v>143</v>
      </c>
      <c r="H735" s="2">
        <v>0</v>
      </c>
      <c r="I735" s="2">
        <v>0</v>
      </c>
      <c r="J735" s="2">
        <f>ABS(F735-E735)</f>
        <v>6</v>
      </c>
      <c r="K735" s="29">
        <f>J735/E735</f>
        <v>4.3478260869565216E-2</v>
      </c>
      <c r="L735" s="2">
        <f>ABS(G735-E735)</f>
        <v>5</v>
      </c>
      <c r="M735" s="50">
        <f>(L735/E735)</f>
        <v>3.6231884057971016E-2</v>
      </c>
      <c r="N735" s="2">
        <v>134</v>
      </c>
      <c r="O735" s="11">
        <f t="shared" si="22"/>
        <v>4</v>
      </c>
      <c r="P735" s="29">
        <f t="shared" si="23"/>
        <v>2.8985507246376812E-2</v>
      </c>
    </row>
    <row r="736" spans="1:16" x14ac:dyDescent="0.35">
      <c r="A736" s="2" t="s">
        <v>45</v>
      </c>
      <c r="B736" s="2" t="s">
        <v>44</v>
      </c>
      <c r="C736" s="2" t="s">
        <v>37</v>
      </c>
      <c r="D736" s="2" t="s">
        <v>26</v>
      </c>
      <c r="E736" s="2">
        <v>98</v>
      </c>
      <c r="F736" s="2">
        <v>95</v>
      </c>
      <c r="G736" s="2">
        <v>94</v>
      </c>
      <c r="H736" s="2">
        <v>0</v>
      </c>
      <c r="I736" s="2">
        <v>0</v>
      </c>
      <c r="J736" s="2">
        <f>ABS(F736-E736)</f>
        <v>3</v>
      </c>
      <c r="K736" s="29">
        <f>J736/E736</f>
        <v>3.0612244897959183E-2</v>
      </c>
      <c r="L736" s="2">
        <f>ABS(G736-E736)</f>
        <v>4</v>
      </c>
      <c r="M736" s="50">
        <f>(L736/E736)</f>
        <v>4.0816326530612242E-2</v>
      </c>
      <c r="N736" s="2">
        <v>104</v>
      </c>
      <c r="O736" s="11">
        <f t="shared" si="22"/>
        <v>6</v>
      </c>
      <c r="P736" s="29">
        <f t="shared" si="23"/>
        <v>6.1224489795918366E-2</v>
      </c>
    </row>
    <row r="737" spans="1:16" x14ac:dyDescent="0.35">
      <c r="A737" s="2" t="s">
        <v>45</v>
      </c>
      <c r="B737" s="2" t="s">
        <v>44</v>
      </c>
      <c r="C737" s="2" t="s">
        <v>37</v>
      </c>
      <c r="D737" s="2" t="s">
        <v>27</v>
      </c>
      <c r="E737" s="2">
        <v>144</v>
      </c>
      <c r="F737" s="2">
        <v>164</v>
      </c>
      <c r="G737" s="2">
        <v>146</v>
      </c>
      <c r="H737" s="2">
        <v>0</v>
      </c>
      <c r="I737" s="2">
        <v>0</v>
      </c>
      <c r="J737" s="2">
        <f>ABS(F737-E737)</f>
        <v>20</v>
      </c>
      <c r="K737" s="29">
        <f>J737/E737</f>
        <v>0.1388888888888889</v>
      </c>
      <c r="L737" s="2">
        <f>ABS(G737-E737)</f>
        <v>2</v>
      </c>
      <c r="M737" s="50">
        <f>(L737/E737)</f>
        <v>1.3888888888888888E-2</v>
      </c>
      <c r="N737" s="2">
        <v>147</v>
      </c>
      <c r="O737" s="11">
        <f t="shared" si="22"/>
        <v>3</v>
      </c>
      <c r="P737" s="29">
        <f t="shared" si="23"/>
        <v>2.0833333333333332E-2</v>
      </c>
    </row>
    <row r="738" spans="1:16" x14ac:dyDescent="0.35">
      <c r="A738" s="2" t="s">
        <v>45</v>
      </c>
      <c r="B738" s="2" t="s">
        <v>44</v>
      </c>
      <c r="C738" s="2" t="s">
        <v>37</v>
      </c>
      <c r="D738" s="2" t="s">
        <v>28</v>
      </c>
      <c r="E738" s="2">
        <v>122</v>
      </c>
      <c r="F738" s="2">
        <v>109</v>
      </c>
      <c r="G738" s="2">
        <v>115</v>
      </c>
      <c r="H738" s="2">
        <v>0</v>
      </c>
      <c r="I738" s="2">
        <v>0</v>
      </c>
      <c r="J738" s="2">
        <f>ABS(F738-E738)</f>
        <v>13</v>
      </c>
      <c r="K738" s="29">
        <f>J738/E738</f>
        <v>0.10655737704918032</v>
      </c>
      <c r="L738" s="2">
        <f>ABS(G738-E738)</f>
        <v>7</v>
      </c>
      <c r="M738" s="50">
        <f>(L738/E738)</f>
        <v>5.737704918032787E-2</v>
      </c>
      <c r="N738" s="2">
        <v>120</v>
      </c>
      <c r="O738" s="11">
        <f t="shared" si="22"/>
        <v>2</v>
      </c>
      <c r="P738" s="29">
        <f t="shared" si="23"/>
        <v>1.6393442622950821E-2</v>
      </c>
    </row>
    <row r="739" spans="1:16" x14ac:dyDescent="0.35">
      <c r="A739" s="2" t="s">
        <v>45</v>
      </c>
      <c r="B739" s="2" t="s">
        <v>44</v>
      </c>
      <c r="C739" s="2" t="s">
        <v>37</v>
      </c>
      <c r="D739" s="2" t="s">
        <v>29</v>
      </c>
      <c r="E739" s="2">
        <v>87</v>
      </c>
      <c r="F739" s="2">
        <v>96</v>
      </c>
      <c r="G739" s="2">
        <v>83</v>
      </c>
      <c r="H739" s="2">
        <v>0</v>
      </c>
      <c r="I739" s="2">
        <v>0</v>
      </c>
      <c r="J739" s="2">
        <f>ABS(F739-E739)</f>
        <v>9</v>
      </c>
      <c r="K739" s="29">
        <f>J739/E739</f>
        <v>0.10344827586206896</v>
      </c>
      <c r="L739" s="2">
        <f>ABS(G739-E739)</f>
        <v>4</v>
      </c>
      <c r="M739" s="50">
        <f>(L739/E739)</f>
        <v>4.5977011494252873E-2</v>
      </c>
      <c r="N739" s="2">
        <v>94</v>
      </c>
      <c r="O739" s="11">
        <f t="shared" si="22"/>
        <v>7</v>
      </c>
      <c r="P739" s="29">
        <f t="shared" si="23"/>
        <v>8.0459770114942528E-2</v>
      </c>
    </row>
    <row r="740" spans="1:16" x14ac:dyDescent="0.35">
      <c r="A740" s="2" t="s">
        <v>45</v>
      </c>
      <c r="B740" s="2" t="s">
        <v>44</v>
      </c>
      <c r="C740" s="2" t="s">
        <v>37</v>
      </c>
      <c r="D740" s="2" t="s">
        <v>30</v>
      </c>
      <c r="E740" s="2">
        <v>89</v>
      </c>
      <c r="F740" s="2">
        <v>86</v>
      </c>
      <c r="G740" s="2">
        <v>86</v>
      </c>
      <c r="H740" s="2">
        <v>0</v>
      </c>
      <c r="I740" s="2">
        <v>0</v>
      </c>
      <c r="J740" s="2">
        <f>ABS(F740-E740)</f>
        <v>3</v>
      </c>
      <c r="K740" s="29">
        <f>J740/E740</f>
        <v>3.3707865168539325E-2</v>
      </c>
      <c r="L740" s="2">
        <f>ABS(G740-E740)</f>
        <v>3</v>
      </c>
      <c r="M740" s="50">
        <f>(L740/E740)</f>
        <v>3.3707865168539325E-2</v>
      </c>
      <c r="N740" s="2">
        <v>90</v>
      </c>
      <c r="O740" s="11">
        <f t="shared" si="22"/>
        <v>1</v>
      </c>
      <c r="P740" s="29">
        <f t="shared" si="23"/>
        <v>1.1235955056179775E-2</v>
      </c>
    </row>
    <row r="741" spans="1:16" x14ac:dyDescent="0.35">
      <c r="A741" s="2" t="s">
        <v>45</v>
      </c>
      <c r="B741" s="2" t="s">
        <v>44</v>
      </c>
      <c r="C741" s="2" t="s">
        <v>37</v>
      </c>
      <c r="D741" s="2" t="s">
        <v>31</v>
      </c>
      <c r="E741" s="2">
        <v>82</v>
      </c>
      <c r="F741" s="2">
        <v>92</v>
      </c>
      <c r="G741" s="2">
        <v>88</v>
      </c>
      <c r="H741" s="2">
        <v>0</v>
      </c>
      <c r="I741" s="2">
        <v>0</v>
      </c>
      <c r="J741" s="2">
        <f>ABS(F741-E741)</f>
        <v>10</v>
      </c>
      <c r="K741" s="29">
        <f>J741/E741</f>
        <v>0.12195121951219512</v>
      </c>
      <c r="L741" s="2">
        <f>ABS(G741-E741)</f>
        <v>6</v>
      </c>
      <c r="M741" s="50">
        <f>(L741/E741)</f>
        <v>7.3170731707317069E-2</v>
      </c>
      <c r="N741" s="2">
        <v>90</v>
      </c>
      <c r="O741" s="11">
        <f t="shared" si="22"/>
        <v>8</v>
      </c>
      <c r="P741" s="29">
        <f t="shared" si="23"/>
        <v>9.7560975609756101E-2</v>
      </c>
    </row>
    <row r="742" spans="1:16" x14ac:dyDescent="0.35">
      <c r="A742" s="2" t="s">
        <v>45</v>
      </c>
      <c r="B742" s="2" t="s">
        <v>44</v>
      </c>
      <c r="C742" s="2" t="s">
        <v>37</v>
      </c>
      <c r="D742" s="2" t="s">
        <v>32</v>
      </c>
      <c r="E742" s="2">
        <v>90</v>
      </c>
      <c r="F742" s="2">
        <v>100</v>
      </c>
      <c r="G742" s="2">
        <v>86</v>
      </c>
      <c r="H742" s="2">
        <v>1</v>
      </c>
      <c r="I742" s="2">
        <v>0</v>
      </c>
      <c r="J742" s="2">
        <f>ABS(F742-E742)</f>
        <v>10</v>
      </c>
      <c r="K742" s="29">
        <f>J742/E742</f>
        <v>0.1111111111111111</v>
      </c>
      <c r="L742" s="2">
        <f>ABS(G742-E742)</f>
        <v>4</v>
      </c>
      <c r="M742" s="50">
        <f>(L742/E742)</f>
        <v>4.4444444444444446E-2</v>
      </c>
      <c r="N742" s="2">
        <v>91</v>
      </c>
      <c r="O742" s="11">
        <f t="shared" si="22"/>
        <v>1</v>
      </c>
      <c r="P742" s="29">
        <f t="shared" si="23"/>
        <v>1.1111111111111112E-2</v>
      </c>
    </row>
    <row r="743" spans="1:16" x14ac:dyDescent="0.35">
      <c r="A743" s="2" t="s">
        <v>45</v>
      </c>
      <c r="B743" s="2" t="s">
        <v>44</v>
      </c>
      <c r="C743" s="2" t="s">
        <v>37</v>
      </c>
      <c r="D743" s="2" t="s">
        <v>33</v>
      </c>
      <c r="E743" s="2">
        <v>103</v>
      </c>
      <c r="F743" s="2">
        <v>116</v>
      </c>
      <c r="G743" s="2">
        <v>92</v>
      </c>
      <c r="H743" s="2">
        <v>1</v>
      </c>
      <c r="I743" s="2">
        <v>0</v>
      </c>
      <c r="J743" s="2">
        <f>ABS(F743-E743)</f>
        <v>13</v>
      </c>
      <c r="K743" s="29">
        <f>J743/E743</f>
        <v>0.12621359223300971</v>
      </c>
      <c r="L743" s="2">
        <f>ABS(G743-E743)</f>
        <v>11</v>
      </c>
      <c r="M743" s="50">
        <f>(L743/E743)</f>
        <v>0.10679611650485436</v>
      </c>
      <c r="N743" s="2">
        <v>99</v>
      </c>
      <c r="O743" s="11">
        <f t="shared" si="22"/>
        <v>4</v>
      </c>
      <c r="P743" s="29">
        <f t="shared" si="23"/>
        <v>3.8834951456310676E-2</v>
      </c>
    </row>
    <row r="744" spans="1:16" x14ac:dyDescent="0.35">
      <c r="A744" s="2" t="s">
        <v>45</v>
      </c>
      <c r="B744" s="2" t="s">
        <v>44</v>
      </c>
      <c r="C744" s="2" t="s">
        <v>37</v>
      </c>
      <c r="D744" s="2" t="s">
        <v>34</v>
      </c>
      <c r="E744" s="2">
        <v>97</v>
      </c>
      <c r="F744" s="2">
        <v>107</v>
      </c>
      <c r="G744" s="2">
        <v>100</v>
      </c>
      <c r="H744" s="2">
        <v>0</v>
      </c>
      <c r="I744" s="2">
        <v>0</v>
      </c>
      <c r="J744" s="2">
        <f>ABS(F744-E744)</f>
        <v>10</v>
      </c>
      <c r="K744" s="29">
        <f>J744/E744</f>
        <v>0.10309278350515463</v>
      </c>
      <c r="L744" s="2">
        <f>ABS(G744-E744)</f>
        <v>3</v>
      </c>
      <c r="M744" s="50">
        <f>(L744/E744)</f>
        <v>3.0927835051546393E-2</v>
      </c>
      <c r="N744" s="2">
        <v>96</v>
      </c>
      <c r="O744" s="11">
        <f t="shared" si="22"/>
        <v>1</v>
      </c>
      <c r="P744" s="29">
        <f t="shared" si="23"/>
        <v>1.0309278350515464E-2</v>
      </c>
    </row>
    <row r="745" spans="1:16" x14ac:dyDescent="0.35">
      <c r="A745" s="2" t="s">
        <v>45</v>
      </c>
      <c r="B745" s="2" t="s">
        <v>44</v>
      </c>
      <c r="C745" s="2" t="s">
        <v>37</v>
      </c>
      <c r="D745" s="2" t="s">
        <v>35</v>
      </c>
      <c r="E745" s="2">
        <v>53</v>
      </c>
      <c r="F745" s="2">
        <v>51</v>
      </c>
      <c r="G745" s="2">
        <v>53</v>
      </c>
      <c r="H745" s="2">
        <v>0</v>
      </c>
      <c r="I745" s="2">
        <v>1</v>
      </c>
      <c r="J745" s="2">
        <f>ABS(F745-E745)</f>
        <v>2</v>
      </c>
      <c r="K745" s="29">
        <f>J745/E745</f>
        <v>3.7735849056603772E-2</v>
      </c>
      <c r="L745" s="2">
        <f>ABS(G745-E745)</f>
        <v>0</v>
      </c>
      <c r="M745" s="50">
        <f>(L745/E745)</f>
        <v>0</v>
      </c>
      <c r="N745" s="2">
        <v>53</v>
      </c>
      <c r="O745" s="11">
        <f t="shared" si="22"/>
        <v>0</v>
      </c>
      <c r="P745" s="29">
        <f t="shared" si="23"/>
        <v>0</v>
      </c>
    </row>
    <row r="746" spans="1:16" x14ac:dyDescent="0.35">
      <c r="A746" s="2" t="s">
        <v>45</v>
      </c>
      <c r="B746" s="2" t="s">
        <v>44</v>
      </c>
      <c r="C746" s="2" t="s">
        <v>38</v>
      </c>
      <c r="D746" s="2" t="s">
        <v>12</v>
      </c>
      <c r="E746" s="2">
        <v>80</v>
      </c>
      <c r="F746" s="2">
        <v>93</v>
      </c>
      <c r="G746" s="2">
        <v>90</v>
      </c>
      <c r="H746" s="2">
        <v>0</v>
      </c>
      <c r="I746" s="2">
        <v>0</v>
      </c>
      <c r="J746" s="2">
        <f>ABS(F746-E746)</f>
        <v>13</v>
      </c>
      <c r="K746" s="29">
        <f>J746/E746</f>
        <v>0.16250000000000001</v>
      </c>
      <c r="L746" s="2">
        <f>ABS(G746-E746)</f>
        <v>10</v>
      </c>
      <c r="M746" s="50">
        <f>(L746/E746)</f>
        <v>0.125</v>
      </c>
      <c r="N746" s="2">
        <v>85</v>
      </c>
      <c r="O746" s="11">
        <f t="shared" si="22"/>
        <v>5</v>
      </c>
      <c r="P746" s="29">
        <f t="shared" si="23"/>
        <v>6.25E-2</v>
      </c>
    </row>
    <row r="747" spans="1:16" x14ac:dyDescent="0.35">
      <c r="A747" s="2" t="s">
        <v>45</v>
      </c>
      <c r="B747" s="2" t="s">
        <v>44</v>
      </c>
      <c r="C747" s="2" t="s">
        <v>38</v>
      </c>
      <c r="D747" s="2" t="s">
        <v>13</v>
      </c>
      <c r="E747" s="2">
        <v>78</v>
      </c>
      <c r="F747" s="2">
        <v>93</v>
      </c>
      <c r="G747" s="2">
        <v>84</v>
      </c>
      <c r="H747" s="2">
        <v>0</v>
      </c>
      <c r="I747" s="2">
        <v>0</v>
      </c>
      <c r="J747" s="2">
        <f>ABS(F747-E747)</f>
        <v>15</v>
      </c>
      <c r="K747" s="29">
        <f>J747/E747</f>
        <v>0.19230769230769232</v>
      </c>
      <c r="L747" s="2">
        <f>ABS(G747-E747)</f>
        <v>6</v>
      </c>
      <c r="M747" s="50">
        <f>(L747/E747)</f>
        <v>7.6923076923076927E-2</v>
      </c>
      <c r="N747" s="2">
        <v>80</v>
      </c>
      <c r="O747" s="11">
        <f t="shared" si="22"/>
        <v>2</v>
      </c>
      <c r="P747" s="29">
        <f t="shared" si="23"/>
        <v>2.564102564102564E-2</v>
      </c>
    </row>
    <row r="748" spans="1:16" x14ac:dyDescent="0.35">
      <c r="A748" s="2" t="s">
        <v>45</v>
      </c>
      <c r="B748" s="2" t="s">
        <v>44</v>
      </c>
      <c r="C748" s="2" t="s">
        <v>38</v>
      </c>
      <c r="D748" s="2" t="s">
        <v>14</v>
      </c>
      <c r="E748" s="2">
        <v>89</v>
      </c>
      <c r="F748" s="2">
        <v>114</v>
      </c>
      <c r="G748" s="2">
        <v>93</v>
      </c>
      <c r="H748" s="2">
        <v>1</v>
      </c>
      <c r="I748" s="2">
        <v>0</v>
      </c>
      <c r="J748" s="2">
        <f>ABS(F748-E748)</f>
        <v>25</v>
      </c>
      <c r="K748" s="29">
        <f>J748/E748</f>
        <v>0.2808988764044944</v>
      </c>
      <c r="L748" s="2">
        <f>ABS(G748-E748)</f>
        <v>4</v>
      </c>
      <c r="M748" s="50">
        <f>(L748/E748)</f>
        <v>4.49438202247191E-2</v>
      </c>
      <c r="N748" s="2">
        <v>90</v>
      </c>
      <c r="O748" s="11">
        <f t="shared" si="22"/>
        <v>1</v>
      </c>
      <c r="P748" s="29">
        <f t="shared" si="23"/>
        <v>1.1235955056179775E-2</v>
      </c>
    </row>
    <row r="749" spans="1:16" x14ac:dyDescent="0.35">
      <c r="A749" s="2" t="s">
        <v>45</v>
      </c>
      <c r="B749" s="2" t="s">
        <v>44</v>
      </c>
      <c r="C749" s="2" t="s">
        <v>38</v>
      </c>
      <c r="D749" s="2" t="s">
        <v>15</v>
      </c>
      <c r="E749" s="2">
        <v>82</v>
      </c>
      <c r="F749" s="2">
        <v>89</v>
      </c>
      <c r="G749" s="2">
        <v>81</v>
      </c>
      <c r="H749" s="2">
        <v>0</v>
      </c>
      <c r="I749" s="2">
        <v>0</v>
      </c>
      <c r="J749" s="2">
        <f>ABS(F749-E749)</f>
        <v>7</v>
      </c>
      <c r="K749" s="29">
        <f>J749/E749</f>
        <v>8.5365853658536592E-2</v>
      </c>
      <c r="L749" s="2">
        <f>ABS(G749-E749)</f>
        <v>1</v>
      </c>
      <c r="M749" s="50">
        <f>(L749/E749)</f>
        <v>1.2195121951219513E-2</v>
      </c>
      <c r="N749" s="2">
        <v>81</v>
      </c>
      <c r="O749" s="11">
        <f t="shared" si="22"/>
        <v>1</v>
      </c>
      <c r="P749" s="29">
        <f t="shared" si="23"/>
        <v>1.2195121951219513E-2</v>
      </c>
    </row>
    <row r="750" spans="1:16" x14ac:dyDescent="0.35">
      <c r="A750" s="2" t="s">
        <v>45</v>
      </c>
      <c r="B750" s="2" t="s">
        <v>44</v>
      </c>
      <c r="C750" s="2" t="s">
        <v>38</v>
      </c>
      <c r="D750" s="2" t="s">
        <v>16</v>
      </c>
      <c r="E750" s="2">
        <v>82</v>
      </c>
      <c r="F750" s="2">
        <v>96</v>
      </c>
      <c r="G750" s="2">
        <v>85</v>
      </c>
      <c r="H750" s="2">
        <v>0</v>
      </c>
      <c r="I750" s="2">
        <v>0</v>
      </c>
      <c r="J750" s="2">
        <f>ABS(F750-E750)</f>
        <v>14</v>
      </c>
      <c r="K750" s="29">
        <f>J750/E750</f>
        <v>0.17073170731707318</v>
      </c>
      <c r="L750" s="2">
        <f>ABS(G750-E750)</f>
        <v>3</v>
      </c>
      <c r="M750" s="50">
        <f>(L750/E750)</f>
        <v>3.6585365853658534E-2</v>
      </c>
      <c r="N750" s="2">
        <v>81</v>
      </c>
      <c r="O750" s="11">
        <f t="shared" si="22"/>
        <v>1</v>
      </c>
      <c r="P750" s="29">
        <f t="shared" si="23"/>
        <v>1.2195121951219513E-2</v>
      </c>
    </row>
    <row r="751" spans="1:16" x14ac:dyDescent="0.35">
      <c r="A751" s="2" t="s">
        <v>45</v>
      </c>
      <c r="B751" s="2" t="s">
        <v>44</v>
      </c>
      <c r="C751" s="2" t="s">
        <v>38</v>
      </c>
      <c r="D751" s="2" t="s">
        <v>17</v>
      </c>
      <c r="E751" s="2">
        <v>58</v>
      </c>
      <c r="F751" s="2">
        <v>64</v>
      </c>
      <c r="G751" s="2">
        <v>58</v>
      </c>
      <c r="H751" s="2">
        <v>1</v>
      </c>
      <c r="I751" s="2">
        <v>0</v>
      </c>
      <c r="J751" s="2">
        <f>ABS(F751-E751)</f>
        <v>6</v>
      </c>
      <c r="K751" s="29">
        <f>J751/E751</f>
        <v>0.10344827586206896</v>
      </c>
      <c r="L751" s="2">
        <f>ABS(G751-E751)</f>
        <v>0</v>
      </c>
      <c r="M751" s="50">
        <f>(L751/E751)</f>
        <v>0</v>
      </c>
      <c r="N751" s="2">
        <v>63</v>
      </c>
      <c r="O751" s="11">
        <f t="shared" si="22"/>
        <v>5</v>
      </c>
      <c r="P751" s="29">
        <f t="shared" si="23"/>
        <v>8.6206896551724144E-2</v>
      </c>
    </row>
    <row r="752" spans="1:16" x14ac:dyDescent="0.35">
      <c r="A752" s="2" t="s">
        <v>45</v>
      </c>
      <c r="B752" s="2" t="s">
        <v>44</v>
      </c>
      <c r="C752" s="2" t="s">
        <v>38</v>
      </c>
      <c r="D752" s="2" t="s">
        <v>18</v>
      </c>
      <c r="E752" s="2">
        <v>54</v>
      </c>
      <c r="F752" s="2">
        <v>66</v>
      </c>
      <c r="G752" s="2">
        <v>52</v>
      </c>
      <c r="H752" s="2">
        <v>0</v>
      </c>
      <c r="I752" s="2">
        <v>0</v>
      </c>
      <c r="J752" s="2">
        <f>ABS(F752-E752)</f>
        <v>12</v>
      </c>
      <c r="K752" s="29">
        <f>J752/E752</f>
        <v>0.22222222222222221</v>
      </c>
      <c r="L752" s="2">
        <f>ABS(G752-E752)</f>
        <v>2</v>
      </c>
      <c r="M752" s="50">
        <f>(L752/E752)</f>
        <v>3.7037037037037035E-2</v>
      </c>
      <c r="N752" s="2">
        <v>60</v>
      </c>
      <c r="O752" s="11">
        <f t="shared" si="22"/>
        <v>6</v>
      </c>
      <c r="P752" s="29">
        <f t="shared" si="23"/>
        <v>0.1111111111111111</v>
      </c>
    </row>
    <row r="753" spans="1:16" x14ac:dyDescent="0.35">
      <c r="A753" s="2" t="s">
        <v>45</v>
      </c>
      <c r="B753" s="2" t="s">
        <v>44</v>
      </c>
      <c r="C753" s="2" t="s">
        <v>38</v>
      </c>
      <c r="D753" s="2" t="s">
        <v>19</v>
      </c>
      <c r="E753" s="2">
        <v>54</v>
      </c>
      <c r="F753" s="2">
        <v>59</v>
      </c>
      <c r="G753" s="2">
        <v>48</v>
      </c>
      <c r="H753" s="2">
        <v>0</v>
      </c>
      <c r="I753" s="2">
        <v>0</v>
      </c>
      <c r="J753" s="2">
        <f>ABS(F753-E753)</f>
        <v>5</v>
      </c>
      <c r="K753" s="29">
        <f>J753/E753</f>
        <v>9.2592592592592587E-2</v>
      </c>
      <c r="L753" s="2">
        <f>ABS(G753-E753)</f>
        <v>6</v>
      </c>
      <c r="M753" s="50">
        <f>(L753/E753)</f>
        <v>0.1111111111111111</v>
      </c>
      <c r="N753" s="2">
        <v>56</v>
      </c>
      <c r="O753" s="11">
        <f t="shared" si="22"/>
        <v>2</v>
      </c>
      <c r="P753" s="29">
        <f t="shared" si="23"/>
        <v>3.7037037037037035E-2</v>
      </c>
    </row>
    <row r="754" spans="1:16" x14ac:dyDescent="0.35">
      <c r="A754" s="2" t="s">
        <v>45</v>
      </c>
      <c r="B754" s="2" t="s">
        <v>44</v>
      </c>
      <c r="C754" s="2" t="s">
        <v>38</v>
      </c>
      <c r="D754" s="2" t="s">
        <v>20</v>
      </c>
      <c r="E754" s="2">
        <v>63</v>
      </c>
      <c r="F754" s="2">
        <v>66</v>
      </c>
      <c r="G754" s="2">
        <v>62</v>
      </c>
      <c r="H754" s="2">
        <v>0</v>
      </c>
      <c r="I754" s="2">
        <v>0</v>
      </c>
      <c r="J754" s="2">
        <f>ABS(F754-E754)</f>
        <v>3</v>
      </c>
      <c r="K754" s="29">
        <f>J754/E754</f>
        <v>4.7619047619047616E-2</v>
      </c>
      <c r="L754" s="2">
        <f>ABS(G754-E754)</f>
        <v>1</v>
      </c>
      <c r="M754" s="50">
        <f>(L754/E754)</f>
        <v>1.5873015873015872E-2</v>
      </c>
      <c r="N754" s="2">
        <v>58</v>
      </c>
      <c r="O754" s="11">
        <f t="shared" si="22"/>
        <v>5</v>
      </c>
      <c r="P754" s="29">
        <f t="shared" si="23"/>
        <v>7.9365079365079361E-2</v>
      </c>
    </row>
    <row r="755" spans="1:16" x14ac:dyDescent="0.35">
      <c r="A755" s="2" t="s">
        <v>45</v>
      </c>
      <c r="B755" s="2" t="s">
        <v>44</v>
      </c>
      <c r="C755" s="2" t="s">
        <v>38</v>
      </c>
      <c r="D755" s="2" t="s">
        <v>21</v>
      </c>
      <c r="E755" s="2">
        <v>61</v>
      </c>
      <c r="F755" s="2">
        <v>66</v>
      </c>
      <c r="G755" s="2">
        <v>61</v>
      </c>
      <c r="H755" s="2">
        <v>1</v>
      </c>
      <c r="I755" s="2">
        <v>0</v>
      </c>
      <c r="J755" s="2">
        <f>ABS(F755-E755)</f>
        <v>5</v>
      </c>
      <c r="K755" s="29">
        <f>J755/E755</f>
        <v>8.1967213114754092E-2</v>
      </c>
      <c r="L755" s="2">
        <f>ABS(G755-E755)</f>
        <v>0</v>
      </c>
      <c r="M755" s="50">
        <f>(L755/E755)</f>
        <v>0</v>
      </c>
      <c r="N755" s="2">
        <v>60</v>
      </c>
      <c r="O755" s="11">
        <f t="shared" si="22"/>
        <v>1</v>
      </c>
      <c r="P755" s="29">
        <f t="shared" si="23"/>
        <v>1.6393442622950821E-2</v>
      </c>
    </row>
    <row r="756" spans="1:16" x14ac:dyDescent="0.35">
      <c r="A756" s="2" t="s">
        <v>45</v>
      </c>
      <c r="B756" s="2" t="s">
        <v>44</v>
      </c>
      <c r="C756" s="2" t="s">
        <v>38</v>
      </c>
      <c r="D756" s="2" t="s">
        <v>22</v>
      </c>
      <c r="E756" s="2">
        <v>72</v>
      </c>
      <c r="F756" s="2">
        <v>89</v>
      </c>
      <c r="G756" s="2">
        <v>72</v>
      </c>
      <c r="H756" s="2">
        <v>1</v>
      </c>
      <c r="I756" s="2">
        <v>0</v>
      </c>
      <c r="J756" s="2">
        <f>ABS(F756-E756)</f>
        <v>17</v>
      </c>
      <c r="K756" s="29">
        <f>J756/E756</f>
        <v>0.2361111111111111</v>
      </c>
      <c r="L756" s="2">
        <f>ABS(G756-E756)</f>
        <v>0</v>
      </c>
      <c r="M756" s="50">
        <f>(L756/E756)</f>
        <v>0</v>
      </c>
      <c r="N756" s="2">
        <v>77</v>
      </c>
      <c r="O756" s="11">
        <f t="shared" si="22"/>
        <v>5</v>
      </c>
      <c r="P756" s="29">
        <f t="shared" si="23"/>
        <v>6.9444444444444448E-2</v>
      </c>
    </row>
    <row r="757" spans="1:16" x14ac:dyDescent="0.35">
      <c r="A757" s="2" t="s">
        <v>45</v>
      </c>
      <c r="B757" s="2" t="s">
        <v>44</v>
      </c>
      <c r="C757" s="2" t="s">
        <v>38</v>
      </c>
      <c r="D757" s="2" t="s">
        <v>23</v>
      </c>
      <c r="E757" s="2">
        <v>85</v>
      </c>
      <c r="F757" s="2">
        <v>111</v>
      </c>
      <c r="G757" s="2">
        <v>87</v>
      </c>
      <c r="H757" s="2">
        <v>0</v>
      </c>
      <c r="I757" s="2">
        <v>0</v>
      </c>
      <c r="J757" s="2">
        <f>ABS(F757-E757)</f>
        <v>26</v>
      </c>
      <c r="K757" s="29">
        <f>J757/E757</f>
        <v>0.30588235294117649</v>
      </c>
      <c r="L757" s="2">
        <f>ABS(G757-E757)</f>
        <v>2</v>
      </c>
      <c r="M757" s="50">
        <f>(L757/E757)</f>
        <v>2.3529411764705882E-2</v>
      </c>
      <c r="N757" s="2">
        <v>90</v>
      </c>
      <c r="O757" s="11">
        <f t="shared" si="22"/>
        <v>5</v>
      </c>
      <c r="P757" s="29">
        <f t="shared" si="23"/>
        <v>5.8823529411764705E-2</v>
      </c>
    </row>
    <row r="758" spans="1:16" x14ac:dyDescent="0.35">
      <c r="A758" s="2" t="s">
        <v>45</v>
      </c>
      <c r="B758" s="2" t="s">
        <v>44</v>
      </c>
      <c r="C758" s="2" t="s">
        <v>38</v>
      </c>
      <c r="D758" s="2" t="s">
        <v>24</v>
      </c>
      <c r="E758" s="2">
        <v>84</v>
      </c>
      <c r="F758" s="2">
        <v>102</v>
      </c>
      <c r="G758" s="2">
        <v>84</v>
      </c>
      <c r="H758" s="2">
        <v>0</v>
      </c>
      <c r="I758" s="2">
        <v>0</v>
      </c>
      <c r="J758" s="2">
        <f>ABS(F758-E758)</f>
        <v>18</v>
      </c>
      <c r="K758" s="29">
        <f>J758/E758</f>
        <v>0.21428571428571427</v>
      </c>
      <c r="L758" s="2">
        <f>ABS(G758-E758)</f>
        <v>0</v>
      </c>
      <c r="M758" s="50">
        <f>(L758/E758)</f>
        <v>0</v>
      </c>
      <c r="N758" s="2">
        <v>88</v>
      </c>
      <c r="O758" s="11">
        <f t="shared" si="22"/>
        <v>4</v>
      </c>
      <c r="P758" s="29">
        <f t="shared" si="23"/>
        <v>4.7619047619047616E-2</v>
      </c>
    </row>
    <row r="759" spans="1:16" x14ac:dyDescent="0.35">
      <c r="A759" s="2" t="s">
        <v>45</v>
      </c>
      <c r="B759" s="2" t="s">
        <v>44</v>
      </c>
      <c r="C759" s="2" t="s">
        <v>38</v>
      </c>
      <c r="D759" s="2" t="s">
        <v>25</v>
      </c>
      <c r="E759" s="2">
        <v>90</v>
      </c>
      <c r="F759" s="2">
        <v>106</v>
      </c>
      <c r="G759" s="2">
        <v>94</v>
      </c>
      <c r="H759" s="2">
        <v>0</v>
      </c>
      <c r="I759" s="2">
        <v>0</v>
      </c>
      <c r="J759" s="2">
        <f>ABS(F759-E759)</f>
        <v>16</v>
      </c>
      <c r="K759" s="29">
        <f>J759/E759</f>
        <v>0.17777777777777778</v>
      </c>
      <c r="L759" s="2">
        <f>ABS(G759-E759)</f>
        <v>4</v>
      </c>
      <c r="M759" s="50">
        <f>(L759/E759)</f>
        <v>4.4444444444444446E-2</v>
      </c>
      <c r="N759" s="2">
        <v>90</v>
      </c>
      <c r="O759" s="11">
        <f t="shared" si="22"/>
        <v>0</v>
      </c>
      <c r="P759" s="29">
        <f t="shared" si="23"/>
        <v>0</v>
      </c>
    </row>
    <row r="760" spans="1:16" x14ac:dyDescent="0.35">
      <c r="A760" s="2" t="s">
        <v>45</v>
      </c>
      <c r="B760" s="2" t="s">
        <v>44</v>
      </c>
      <c r="C760" s="2" t="s">
        <v>38</v>
      </c>
      <c r="D760" s="2" t="s">
        <v>26</v>
      </c>
      <c r="E760" s="2">
        <v>106</v>
      </c>
      <c r="F760" s="2">
        <v>121</v>
      </c>
      <c r="G760" s="2">
        <v>101</v>
      </c>
      <c r="H760" s="2">
        <v>0</v>
      </c>
      <c r="I760" s="2">
        <v>0</v>
      </c>
      <c r="J760" s="2">
        <f>ABS(F760-E760)</f>
        <v>15</v>
      </c>
      <c r="K760" s="29">
        <f>J760/E760</f>
        <v>0.14150943396226415</v>
      </c>
      <c r="L760" s="2">
        <f>ABS(G760-E760)</f>
        <v>5</v>
      </c>
      <c r="M760" s="50">
        <f>(L760/E760)</f>
        <v>4.716981132075472E-2</v>
      </c>
      <c r="N760" s="2">
        <v>105</v>
      </c>
      <c r="O760" s="11">
        <f t="shared" si="22"/>
        <v>1</v>
      </c>
      <c r="P760" s="29">
        <f t="shared" si="23"/>
        <v>9.433962264150943E-3</v>
      </c>
    </row>
    <row r="761" spans="1:16" x14ac:dyDescent="0.35">
      <c r="A761" s="2" t="s">
        <v>45</v>
      </c>
      <c r="B761" s="2" t="s">
        <v>44</v>
      </c>
      <c r="C761" s="2" t="s">
        <v>38</v>
      </c>
      <c r="D761" s="2" t="s">
        <v>27</v>
      </c>
      <c r="E761" s="2">
        <v>82</v>
      </c>
      <c r="F761" s="2">
        <v>92</v>
      </c>
      <c r="G761" s="2">
        <v>76</v>
      </c>
      <c r="H761" s="2">
        <v>0</v>
      </c>
      <c r="I761" s="2">
        <v>0</v>
      </c>
      <c r="J761" s="2">
        <f>ABS(F761-E761)</f>
        <v>10</v>
      </c>
      <c r="K761" s="29">
        <f>J761/E761</f>
        <v>0.12195121951219512</v>
      </c>
      <c r="L761" s="2">
        <f>ABS(G761-E761)</f>
        <v>6</v>
      </c>
      <c r="M761" s="50">
        <f>(L761/E761)</f>
        <v>7.3170731707317069E-2</v>
      </c>
      <c r="N761" s="2">
        <v>84</v>
      </c>
      <c r="O761" s="11">
        <f t="shared" si="22"/>
        <v>2</v>
      </c>
      <c r="P761" s="29">
        <f t="shared" si="23"/>
        <v>2.4390243902439025E-2</v>
      </c>
    </row>
    <row r="762" spans="1:16" x14ac:dyDescent="0.35">
      <c r="A762" s="2" t="s">
        <v>45</v>
      </c>
      <c r="B762" s="2" t="s">
        <v>44</v>
      </c>
      <c r="C762" s="2" t="s">
        <v>38</v>
      </c>
      <c r="D762" s="2" t="s">
        <v>28</v>
      </c>
      <c r="E762" s="2">
        <v>75</v>
      </c>
      <c r="F762" s="2">
        <v>99</v>
      </c>
      <c r="G762" s="2">
        <v>76</v>
      </c>
      <c r="H762" s="2">
        <v>1</v>
      </c>
      <c r="I762" s="2">
        <v>0</v>
      </c>
      <c r="J762" s="2">
        <f>ABS(F762-E762)</f>
        <v>24</v>
      </c>
      <c r="K762" s="29">
        <f>J762/E762</f>
        <v>0.32</v>
      </c>
      <c r="L762" s="2">
        <f>ABS(G762-E762)</f>
        <v>1</v>
      </c>
      <c r="M762" s="50">
        <f>(L762/E762)</f>
        <v>1.3333333333333334E-2</v>
      </c>
      <c r="N762" s="2">
        <v>83</v>
      </c>
      <c r="O762" s="11">
        <f t="shared" si="22"/>
        <v>8</v>
      </c>
      <c r="P762" s="29">
        <f t="shared" si="23"/>
        <v>0.10666666666666667</v>
      </c>
    </row>
    <row r="763" spans="1:16" x14ac:dyDescent="0.35">
      <c r="A763" s="2" t="s">
        <v>45</v>
      </c>
      <c r="B763" s="2" t="s">
        <v>44</v>
      </c>
      <c r="C763" s="2" t="s">
        <v>38</v>
      </c>
      <c r="D763" s="2" t="s">
        <v>29</v>
      </c>
      <c r="E763" s="2">
        <v>82</v>
      </c>
      <c r="F763" s="2">
        <v>86</v>
      </c>
      <c r="G763" s="2">
        <v>85</v>
      </c>
      <c r="H763" s="2">
        <v>1</v>
      </c>
      <c r="I763" s="2">
        <v>0</v>
      </c>
      <c r="J763" s="2">
        <f>ABS(F763-E763)</f>
        <v>4</v>
      </c>
      <c r="K763" s="29">
        <f>J763/E763</f>
        <v>4.878048780487805E-2</v>
      </c>
      <c r="L763" s="2">
        <f>ABS(G763-E763)</f>
        <v>3</v>
      </c>
      <c r="M763" s="50">
        <f>(L763/E763)</f>
        <v>3.6585365853658534E-2</v>
      </c>
      <c r="N763" s="2">
        <v>77</v>
      </c>
      <c r="O763" s="11">
        <f t="shared" si="22"/>
        <v>5</v>
      </c>
      <c r="P763" s="29">
        <f t="shared" si="23"/>
        <v>6.097560975609756E-2</v>
      </c>
    </row>
    <row r="764" spans="1:16" x14ac:dyDescent="0.35">
      <c r="A764" s="2" t="s">
        <v>45</v>
      </c>
      <c r="B764" s="2" t="s">
        <v>44</v>
      </c>
      <c r="C764" s="2" t="s">
        <v>38</v>
      </c>
      <c r="D764" s="2" t="s">
        <v>30</v>
      </c>
      <c r="E764" s="2">
        <v>59</v>
      </c>
      <c r="F764" s="2">
        <v>63</v>
      </c>
      <c r="G764" s="2">
        <v>60</v>
      </c>
      <c r="H764" s="2">
        <v>1</v>
      </c>
      <c r="I764" s="2">
        <v>0</v>
      </c>
      <c r="J764" s="2">
        <f>ABS(F764-E764)</f>
        <v>4</v>
      </c>
      <c r="K764" s="29">
        <f>J764/E764</f>
        <v>6.7796610169491525E-2</v>
      </c>
      <c r="L764" s="2">
        <f>ABS(G764-E764)</f>
        <v>1</v>
      </c>
      <c r="M764" s="50">
        <f>(L764/E764)</f>
        <v>1.6949152542372881E-2</v>
      </c>
      <c r="N764" s="2">
        <v>62</v>
      </c>
      <c r="O764" s="11">
        <f t="shared" si="22"/>
        <v>3</v>
      </c>
      <c r="P764" s="29">
        <f t="shared" si="23"/>
        <v>5.0847457627118647E-2</v>
      </c>
    </row>
    <row r="765" spans="1:16" x14ac:dyDescent="0.35">
      <c r="A765" s="2" t="s">
        <v>45</v>
      </c>
      <c r="B765" s="2" t="s">
        <v>44</v>
      </c>
      <c r="C765" s="2" t="s">
        <v>38</v>
      </c>
      <c r="D765" s="2" t="s">
        <v>31</v>
      </c>
      <c r="E765" s="2">
        <v>56</v>
      </c>
      <c r="F765" s="2">
        <v>70</v>
      </c>
      <c r="G765" s="2">
        <v>52</v>
      </c>
      <c r="H765" s="2">
        <v>0</v>
      </c>
      <c r="I765" s="2">
        <v>0</v>
      </c>
      <c r="J765" s="2">
        <f>ABS(F765-E765)</f>
        <v>14</v>
      </c>
      <c r="K765" s="29">
        <f>J765/E765</f>
        <v>0.25</v>
      </c>
      <c r="L765" s="2">
        <f>ABS(G765-E765)</f>
        <v>4</v>
      </c>
      <c r="M765" s="50">
        <f>(L765/E765)</f>
        <v>7.1428571428571425E-2</v>
      </c>
      <c r="N765" s="2">
        <v>60</v>
      </c>
      <c r="O765" s="11">
        <f t="shared" si="22"/>
        <v>4</v>
      </c>
      <c r="P765" s="29">
        <f t="shared" si="23"/>
        <v>7.1428571428571425E-2</v>
      </c>
    </row>
    <row r="766" spans="1:16" x14ac:dyDescent="0.35">
      <c r="A766" s="2" t="s">
        <v>45</v>
      </c>
      <c r="B766" s="2" t="s">
        <v>44</v>
      </c>
      <c r="C766" s="2" t="s">
        <v>38</v>
      </c>
      <c r="D766" s="2" t="s">
        <v>32</v>
      </c>
      <c r="E766" s="2">
        <v>55</v>
      </c>
      <c r="F766" s="2">
        <v>67</v>
      </c>
      <c r="G766" s="2">
        <v>55</v>
      </c>
      <c r="H766" s="2">
        <v>1</v>
      </c>
      <c r="I766" s="2">
        <v>0</v>
      </c>
      <c r="J766" s="2">
        <f>ABS(F766-E766)</f>
        <v>12</v>
      </c>
      <c r="K766" s="29">
        <f>J766/E766</f>
        <v>0.21818181818181817</v>
      </c>
      <c r="L766" s="2">
        <f>ABS(G766-E766)</f>
        <v>0</v>
      </c>
      <c r="M766" s="50">
        <f>(L766/E766)</f>
        <v>0</v>
      </c>
      <c r="N766" s="2">
        <v>58</v>
      </c>
      <c r="O766" s="11">
        <f t="shared" si="22"/>
        <v>3</v>
      </c>
      <c r="P766" s="29">
        <f t="shared" si="23"/>
        <v>5.4545454545454543E-2</v>
      </c>
    </row>
    <row r="767" spans="1:16" x14ac:dyDescent="0.35">
      <c r="A767" s="2" t="s">
        <v>45</v>
      </c>
      <c r="B767" s="2" t="s">
        <v>44</v>
      </c>
      <c r="C767" s="2" t="s">
        <v>38</v>
      </c>
      <c r="D767" s="2" t="s">
        <v>33</v>
      </c>
      <c r="E767" s="2">
        <v>58</v>
      </c>
      <c r="F767" s="2">
        <v>69</v>
      </c>
      <c r="G767" s="2">
        <v>53</v>
      </c>
      <c r="H767" s="2">
        <v>0</v>
      </c>
      <c r="I767" s="2">
        <v>0</v>
      </c>
      <c r="J767" s="2">
        <f>ABS(F767-E767)</f>
        <v>11</v>
      </c>
      <c r="K767" s="29">
        <f>J767/E767</f>
        <v>0.18965517241379309</v>
      </c>
      <c r="L767" s="2">
        <f>ABS(G767-E767)</f>
        <v>5</v>
      </c>
      <c r="M767" s="50">
        <f>(L767/E767)</f>
        <v>8.6206896551724144E-2</v>
      </c>
      <c r="N767" s="2">
        <v>57</v>
      </c>
      <c r="O767" s="11">
        <f t="shared" si="22"/>
        <v>1</v>
      </c>
      <c r="P767" s="29">
        <f t="shared" si="23"/>
        <v>1.7241379310344827E-2</v>
      </c>
    </row>
    <row r="768" spans="1:16" x14ac:dyDescent="0.35">
      <c r="A768" s="2" t="s">
        <v>45</v>
      </c>
      <c r="B768" s="2" t="s">
        <v>44</v>
      </c>
      <c r="C768" s="2" t="s">
        <v>38</v>
      </c>
      <c r="D768" s="2" t="s">
        <v>34</v>
      </c>
      <c r="E768" s="2">
        <v>72</v>
      </c>
      <c r="F768" s="2">
        <v>81</v>
      </c>
      <c r="G768" s="2">
        <v>70</v>
      </c>
      <c r="H768" s="2">
        <v>0</v>
      </c>
      <c r="I768" s="2">
        <v>0</v>
      </c>
      <c r="J768" s="2">
        <f>ABS(F768-E768)</f>
        <v>9</v>
      </c>
      <c r="K768" s="29">
        <f>J768/E768</f>
        <v>0.125</v>
      </c>
      <c r="L768" s="2">
        <f>ABS(G768-E768)</f>
        <v>2</v>
      </c>
      <c r="M768" s="50">
        <f>(L768/E768)</f>
        <v>2.7777777777777776E-2</v>
      </c>
      <c r="N768" s="2">
        <v>70</v>
      </c>
      <c r="O768" s="11">
        <f t="shared" si="22"/>
        <v>2</v>
      </c>
      <c r="P768" s="29">
        <f t="shared" si="23"/>
        <v>2.7777777777777776E-2</v>
      </c>
    </row>
    <row r="769" spans="1:16" x14ac:dyDescent="0.35">
      <c r="A769" s="2" t="s">
        <v>45</v>
      </c>
      <c r="B769" s="2" t="s">
        <v>44</v>
      </c>
      <c r="C769" s="2" t="s">
        <v>38</v>
      </c>
      <c r="D769" s="2" t="s">
        <v>35</v>
      </c>
      <c r="E769" s="2">
        <v>40</v>
      </c>
      <c r="F769" s="2">
        <v>48</v>
      </c>
      <c r="G769" s="2">
        <v>40</v>
      </c>
      <c r="H769" s="2">
        <v>1</v>
      </c>
      <c r="I769" s="2">
        <v>1</v>
      </c>
      <c r="J769" s="2">
        <f>ABS(F769-E769)</f>
        <v>8</v>
      </c>
      <c r="K769" s="29">
        <f>J769/E769</f>
        <v>0.2</v>
      </c>
      <c r="L769" s="2">
        <f>ABS(G769-E769)</f>
        <v>0</v>
      </c>
      <c r="M769" s="50">
        <f>(L769/E769)</f>
        <v>0</v>
      </c>
      <c r="N769" s="2">
        <v>48</v>
      </c>
      <c r="O769" s="11">
        <f t="shared" si="22"/>
        <v>8</v>
      </c>
      <c r="P769" s="29">
        <f t="shared" si="23"/>
        <v>0.2</v>
      </c>
    </row>
    <row r="770" spans="1:16" x14ac:dyDescent="0.35">
      <c r="A770" s="2" t="s">
        <v>49</v>
      </c>
      <c r="B770" s="2" t="s">
        <v>50</v>
      </c>
      <c r="C770" s="2" t="s">
        <v>11</v>
      </c>
      <c r="D770" s="2" t="s">
        <v>12</v>
      </c>
      <c r="E770" s="2">
        <v>68</v>
      </c>
      <c r="F770" s="2">
        <v>64</v>
      </c>
      <c r="G770" s="2">
        <v>66</v>
      </c>
      <c r="H770" s="2">
        <v>0</v>
      </c>
      <c r="I770" s="2">
        <v>0</v>
      </c>
      <c r="J770" s="2">
        <f>ABS(F770-E770)</f>
        <v>4</v>
      </c>
      <c r="K770" s="29">
        <f>J770/E770</f>
        <v>5.8823529411764705E-2</v>
      </c>
      <c r="L770" s="2">
        <f>ABS(G770-E770)</f>
        <v>2</v>
      </c>
      <c r="M770" s="50">
        <f>(L770/E770)</f>
        <v>2.9411764705882353E-2</v>
      </c>
      <c r="N770" s="2">
        <v>69</v>
      </c>
      <c r="O770" s="11">
        <f t="shared" si="22"/>
        <v>1</v>
      </c>
      <c r="P770" s="29">
        <f t="shared" si="23"/>
        <v>1.4705882352941176E-2</v>
      </c>
    </row>
    <row r="771" spans="1:16" x14ac:dyDescent="0.35">
      <c r="A771" s="2" t="s">
        <v>49</v>
      </c>
      <c r="B771" s="2" t="s">
        <v>50</v>
      </c>
      <c r="C771" s="2" t="s">
        <v>11</v>
      </c>
      <c r="D771" s="2" t="s">
        <v>13</v>
      </c>
      <c r="E771" s="2">
        <v>85</v>
      </c>
      <c r="F771" s="2">
        <v>78</v>
      </c>
      <c r="G771" s="2">
        <v>85</v>
      </c>
      <c r="H771" s="2">
        <v>0</v>
      </c>
      <c r="I771" s="2">
        <v>0</v>
      </c>
      <c r="J771" s="2">
        <f>ABS(F771-E771)</f>
        <v>7</v>
      </c>
      <c r="K771" s="29">
        <f>J771/E771</f>
        <v>8.2352941176470587E-2</v>
      </c>
      <c r="L771" s="2">
        <f>ABS(G771-E771)</f>
        <v>0</v>
      </c>
      <c r="M771" s="50">
        <f>(L771/E771)</f>
        <v>0</v>
      </c>
      <c r="N771" s="2">
        <v>81</v>
      </c>
      <c r="O771" s="11">
        <f t="shared" ref="O771:O834" si="24">ABS(N771-E771)</f>
        <v>4</v>
      </c>
      <c r="P771" s="29">
        <f t="shared" ref="P771:P834" si="25">O771/E771</f>
        <v>4.7058823529411764E-2</v>
      </c>
    </row>
    <row r="772" spans="1:16" x14ac:dyDescent="0.35">
      <c r="A772" s="2" t="s">
        <v>49</v>
      </c>
      <c r="B772" s="2" t="s">
        <v>50</v>
      </c>
      <c r="C772" s="2" t="s">
        <v>11</v>
      </c>
      <c r="D772" s="2" t="s">
        <v>14</v>
      </c>
      <c r="E772" s="2">
        <v>85</v>
      </c>
      <c r="F772" s="2">
        <v>90</v>
      </c>
      <c r="G772" s="2">
        <v>87</v>
      </c>
      <c r="H772" s="2">
        <v>1</v>
      </c>
      <c r="I772" s="2">
        <v>0</v>
      </c>
      <c r="J772" s="2">
        <f>ABS(F772-E772)</f>
        <v>5</v>
      </c>
      <c r="K772" s="29">
        <f>J772/E772</f>
        <v>5.8823529411764705E-2</v>
      </c>
      <c r="L772" s="2">
        <f>ABS(G772-E772)</f>
        <v>2</v>
      </c>
      <c r="M772" s="50">
        <f>(L772/E772)</f>
        <v>2.3529411764705882E-2</v>
      </c>
      <c r="N772" s="2">
        <v>85</v>
      </c>
      <c r="O772" s="11">
        <f t="shared" si="24"/>
        <v>0</v>
      </c>
      <c r="P772" s="29">
        <f t="shared" si="25"/>
        <v>0</v>
      </c>
    </row>
    <row r="773" spans="1:16" x14ac:dyDescent="0.35">
      <c r="A773" s="2" t="s">
        <v>49</v>
      </c>
      <c r="B773" s="2" t="s">
        <v>50</v>
      </c>
      <c r="C773" s="2" t="s">
        <v>11</v>
      </c>
      <c r="D773" s="2" t="s">
        <v>15</v>
      </c>
      <c r="E773" s="2">
        <v>88</v>
      </c>
      <c r="F773" s="2">
        <v>73</v>
      </c>
      <c r="G773" s="2">
        <v>94</v>
      </c>
      <c r="H773" s="2">
        <v>0</v>
      </c>
      <c r="I773" s="2">
        <v>0</v>
      </c>
      <c r="J773" s="2">
        <f>ABS(F773-E773)</f>
        <v>15</v>
      </c>
      <c r="K773" s="29">
        <f>J773/E773</f>
        <v>0.17045454545454544</v>
      </c>
      <c r="L773" s="2">
        <f>ABS(G773-E773)</f>
        <v>6</v>
      </c>
      <c r="M773" s="50">
        <f>(L773/E773)</f>
        <v>6.8181818181818177E-2</v>
      </c>
      <c r="N773" s="2">
        <v>83</v>
      </c>
      <c r="O773" s="11">
        <f t="shared" si="24"/>
        <v>5</v>
      </c>
      <c r="P773" s="29">
        <f t="shared" si="25"/>
        <v>5.6818181818181816E-2</v>
      </c>
    </row>
    <row r="774" spans="1:16" x14ac:dyDescent="0.35">
      <c r="A774" s="2" t="s">
        <v>49</v>
      </c>
      <c r="B774" s="2" t="s">
        <v>50</v>
      </c>
      <c r="C774" s="2" t="s">
        <v>11</v>
      </c>
      <c r="D774" s="2" t="s">
        <v>16</v>
      </c>
      <c r="E774" s="2">
        <v>64</v>
      </c>
      <c r="F774" s="2">
        <v>57</v>
      </c>
      <c r="G774" s="2">
        <v>66</v>
      </c>
      <c r="H774" s="2">
        <v>1</v>
      </c>
      <c r="I774" s="2">
        <v>0</v>
      </c>
      <c r="J774" s="2">
        <f>ABS(F774-E774)</f>
        <v>7</v>
      </c>
      <c r="K774" s="29">
        <f>J774/E774</f>
        <v>0.109375</v>
      </c>
      <c r="L774" s="2">
        <f>ABS(G774-E774)</f>
        <v>2</v>
      </c>
      <c r="M774" s="50">
        <f>(L774/E774)</f>
        <v>3.125E-2</v>
      </c>
      <c r="N774" s="2">
        <v>64</v>
      </c>
      <c r="O774" s="11">
        <f t="shared" si="24"/>
        <v>0</v>
      </c>
      <c r="P774" s="29">
        <f t="shared" si="25"/>
        <v>0</v>
      </c>
    </row>
    <row r="775" spans="1:16" x14ac:dyDescent="0.35">
      <c r="A775" s="2" t="s">
        <v>49</v>
      </c>
      <c r="B775" s="2" t="s">
        <v>50</v>
      </c>
      <c r="C775" s="2" t="s">
        <v>11</v>
      </c>
      <c r="D775" s="2" t="s">
        <v>17</v>
      </c>
      <c r="E775" s="2">
        <v>52</v>
      </c>
      <c r="F775" s="2">
        <v>52</v>
      </c>
      <c r="G775" s="2">
        <v>52</v>
      </c>
      <c r="H775" s="2">
        <v>0</v>
      </c>
      <c r="I775" s="2">
        <v>0</v>
      </c>
      <c r="J775" s="2">
        <f>ABS(F775-E775)</f>
        <v>0</v>
      </c>
      <c r="K775" s="29">
        <f>J775/E775</f>
        <v>0</v>
      </c>
      <c r="L775" s="2">
        <f>ABS(G775-E775)</f>
        <v>0</v>
      </c>
      <c r="M775" s="50">
        <f>(L775/E775)</f>
        <v>0</v>
      </c>
      <c r="N775" s="2">
        <v>56</v>
      </c>
      <c r="O775" s="11">
        <f t="shared" si="24"/>
        <v>4</v>
      </c>
      <c r="P775" s="29">
        <f t="shared" si="25"/>
        <v>7.6923076923076927E-2</v>
      </c>
    </row>
    <row r="776" spans="1:16" x14ac:dyDescent="0.35">
      <c r="A776" s="2" t="s">
        <v>49</v>
      </c>
      <c r="B776" s="2" t="s">
        <v>50</v>
      </c>
      <c r="C776" s="2" t="s">
        <v>11</v>
      </c>
      <c r="D776" s="2" t="s">
        <v>18</v>
      </c>
      <c r="E776" s="2">
        <v>53</v>
      </c>
      <c r="F776" s="2">
        <v>55</v>
      </c>
      <c r="G776" s="2">
        <v>53</v>
      </c>
      <c r="H776" s="2">
        <v>1</v>
      </c>
      <c r="I776" s="2">
        <v>0</v>
      </c>
      <c r="J776" s="2">
        <f>ABS(F776-E776)</f>
        <v>2</v>
      </c>
      <c r="K776" s="29">
        <f>J776/E776</f>
        <v>3.7735849056603772E-2</v>
      </c>
      <c r="L776" s="2">
        <f>ABS(G776-E776)</f>
        <v>0</v>
      </c>
      <c r="M776" s="50">
        <f>(L776/E776)</f>
        <v>0</v>
      </c>
      <c r="N776" s="2">
        <v>59</v>
      </c>
      <c r="O776" s="11">
        <f t="shared" si="24"/>
        <v>6</v>
      </c>
      <c r="P776" s="29">
        <f t="shared" si="25"/>
        <v>0.11320754716981132</v>
      </c>
    </row>
    <row r="777" spans="1:16" x14ac:dyDescent="0.35">
      <c r="A777" s="2" t="s">
        <v>49</v>
      </c>
      <c r="B777" s="2" t="s">
        <v>50</v>
      </c>
      <c r="C777" s="2" t="s">
        <v>11</v>
      </c>
      <c r="D777" s="2" t="s">
        <v>19</v>
      </c>
      <c r="E777" s="2">
        <v>48</v>
      </c>
      <c r="F777" s="2">
        <v>45</v>
      </c>
      <c r="G777" s="2">
        <v>44</v>
      </c>
      <c r="H777" s="2">
        <v>0</v>
      </c>
      <c r="I777" s="2">
        <v>0</v>
      </c>
      <c r="J777" s="2">
        <f>ABS(F777-E777)</f>
        <v>3</v>
      </c>
      <c r="K777" s="29">
        <f>J777/E777</f>
        <v>6.25E-2</v>
      </c>
      <c r="L777" s="2">
        <f>ABS(G777-E777)</f>
        <v>4</v>
      </c>
      <c r="M777" s="50">
        <f>(L777/E777)</f>
        <v>8.3333333333333329E-2</v>
      </c>
      <c r="N777" s="2">
        <v>47</v>
      </c>
      <c r="O777" s="11">
        <f t="shared" si="24"/>
        <v>1</v>
      </c>
      <c r="P777" s="29">
        <f t="shared" si="25"/>
        <v>2.0833333333333332E-2</v>
      </c>
    </row>
    <row r="778" spans="1:16" x14ac:dyDescent="0.35">
      <c r="A778" s="2" t="s">
        <v>49</v>
      </c>
      <c r="B778" s="2" t="s">
        <v>50</v>
      </c>
      <c r="C778" s="2" t="s">
        <v>11</v>
      </c>
      <c r="D778" s="2" t="s">
        <v>20</v>
      </c>
      <c r="E778" s="2">
        <v>26</v>
      </c>
      <c r="F778" s="2">
        <v>24</v>
      </c>
      <c r="G778" s="2">
        <v>26</v>
      </c>
      <c r="H778" s="2">
        <v>0</v>
      </c>
      <c r="I778" s="2">
        <v>1</v>
      </c>
      <c r="J778" s="2">
        <f>ABS(F778-E778)</f>
        <v>2</v>
      </c>
      <c r="K778" s="29">
        <f>J778/E778</f>
        <v>7.6923076923076927E-2</v>
      </c>
      <c r="L778" s="2">
        <f>ABS(G778-E778)</f>
        <v>0</v>
      </c>
      <c r="M778" s="50">
        <f>(L778/E778)</f>
        <v>0</v>
      </c>
      <c r="N778" s="2">
        <v>34</v>
      </c>
      <c r="O778" s="11">
        <f t="shared" si="24"/>
        <v>8</v>
      </c>
      <c r="P778" s="29">
        <f t="shared" si="25"/>
        <v>0.30769230769230771</v>
      </c>
    </row>
    <row r="779" spans="1:16" x14ac:dyDescent="0.35">
      <c r="A779" s="2" t="s">
        <v>49</v>
      </c>
      <c r="B779" s="2" t="s">
        <v>50</v>
      </c>
      <c r="C779" s="2" t="s">
        <v>11</v>
      </c>
      <c r="D779" s="2" t="s">
        <v>21</v>
      </c>
      <c r="E779" s="2">
        <v>54</v>
      </c>
      <c r="F779" s="2">
        <v>52</v>
      </c>
      <c r="G779" s="2">
        <v>52</v>
      </c>
      <c r="H779" s="2">
        <v>0</v>
      </c>
      <c r="I779" s="2">
        <v>0</v>
      </c>
      <c r="J779" s="2">
        <f>ABS(F779-E779)</f>
        <v>2</v>
      </c>
      <c r="K779" s="29">
        <f>J779/E779</f>
        <v>3.7037037037037035E-2</v>
      </c>
      <c r="L779" s="2">
        <f>ABS(G779-E779)</f>
        <v>2</v>
      </c>
      <c r="M779" s="50">
        <f>(L779/E779)</f>
        <v>3.7037037037037035E-2</v>
      </c>
      <c r="N779" s="2">
        <v>53</v>
      </c>
      <c r="O779" s="11">
        <f t="shared" si="24"/>
        <v>1</v>
      </c>
      <c r="P779" s="29">
        <f t="shared" si="25"/>
        <v>1.8518518518518517E-2</v>
      </c>
    </row>
    <row r="780" spans="1:16" x14ac:dyDescent="0.35">
      <c r="A780" s="2" t="s">
        <v>49</v>
      </c>
      <c r="B780" s="2" t="s">
        <v>50</v>
      </c>
      <c r="C780" s="2" t="s">
        <v>11</v>
      </c>
      <c r="D780" s="2" t="s">
        <v>22</v>
      </c>
      <c r="E780" s="2">
        <v>57</v>
      </c>
      <c r="F780" s="2">
        <v>55</v>
      </c>
      <c r="G780" s="2">
        <v>55</v>
      </c>
      <c r="H780" s="2">
        <v>0</v>
      </c>
      <c r="I780" s="2">
        <v>0</v>
      </c>
      <c r="J780" s="2">
        <f>ABS(F780-E780)</f>
        <v>2</v>
      </c>
      <c r="K780" s="29">
        <f>J780/E780</f>
        <v>3.5087719298245612E-2</v>
      </c>
      <c r="L780" s="2">
        <f>ABS(G780-E780)</f>
        <v>2</v>
      </c>
      <c r="M780" s="50">
        <f>(L780/E780)</f>
        <v>3.5087719298245612E-2</v>
      </c>
      <c r="N780" s="2">
        <v>57</v>
      </c>
      <c r="O780" s="11">
        <f t="shared" si="24"/>
        <v>0</v>
      </c>
      <c r="P780" s="29">
        <f t="shared" si="25"/>
        <v>0</v>
      </c>
    </row>
    <row r="781" spans="1:16" x14ac:dyDescent="0.35">
      <c r="A781" s="2" t="s">
        <v>49</v>
      </c>
      <c r="B781" s="2" t="s">
        <v>50</v>
      </c>
      <c r="C781" s="2" t="s">
        <v>11</v>
      </c>
      <c r="D781" s="2" t="s">
        <v>23</v>
      </c>
      <c r="E781" s="2">
        <v>31</v>
      </c>
      <c r="F781" s="2">
        <v>36</v>
      </c>
      <c r="G781" s="2">
        <v>29</v>
      </c>
      <c r="H781" s="2">
        <v>0</v>
      </c>
      <c r="I781" s="2">
        <v>1</v>
      </c>
      <c r="J781" s="2">
        <f>ABS(F781-E781)</f>
        <v>5</v>
      </c>
      <c r="K781" s="29">
        <f>J781/E781</f>
        <v>0.16129032258064516</v>
      </c>
      <c r="L781" s="2">
        <f>ABS(G781-E781)</f>
        <v>2</v>
      </c>
      <c r="M781" s="50">
        <f>(L781/E781)</f>
        <v>6.4516129032258063E-2</v>
      </c>
      <c r="N781" s="2">
        <v>34</v>
      </c>
      <c r="O781" s="11">
        <f t="shared" si="24"/>
        <v>3</v>
      </c>
      <c r="P781" s="29">
        <f t="shared" si="25"/>
        <v>9.6774193548387094E-2</v>
      </c>
    </row>
    <row r="782" spans="1:16" x14ac:dyDescent="0.35">
      <c r="A782" s="2" t="s">
        <v>49</v>
      </c>
      <c r="B782" s="2" t="s">
        <v>50</v>
      </c>
      <c r="C782" s="2" t="s">
        <v>11</v>
      </c>
      <c r="D782" s="2" t="s">
        <v>24</v>
      </c>
      <c r="E782" s="2">
        <v>68</v>
      </c>
      <c r="F782" s="2">
        <v>64</v>
      </c>
      <c r="G782" s="2">
        <v>71</v>
      </c>
      <c r="H782" s="2">
        <v>0</v>
      </c>
      <c r="I782" s="2">
        <v>0</v>
      </c>
      <c r="J782" s="2">
        <f>ABS(F782-E782)</f>
        <v>4</v>
      </c>
      <c r="K782" s="29">
        <f>J782/E782</f>
        <v>5.8823529411764705E-2</v>
      </c>
      <c r="L782" s="2">
        <f>ABS(G782-E782)</f>
        <v>3</v>
      </c>
      <c r="M782" s="50">
        <f>(L782/E782)</f>
        <v>4.4117647058823532E-2</v>
      </c>
      <c r="N782" s="2">
        <v>68</v>
      </c>
      <c r="O782" s="11">
        <f t="shared" si="24"/>
        <v>0</v>
      </c>
      <c r="P782" s="29">
        <f t="shared" si="25"/>
        <v>0</v>
      </c>
    </row>
    <row r="783" spans="1:16" x14ac:dyDescent="0.35">
      <c r="A783" s="2" t="s">
        <v>49</v>
      </c>
      <c r="B783" s="2" t="s">
        <v>50</v>
      </c>
      <c r="C783" s="2" t="s">
        <v>11</v>
      </c>
      <c r="D783" s="2" t="s">
        <v>25</v>
      </c>
      <c r="E783" s="2">
        <v>65</v>
      </c>
      <c r="F783" s="2">
        <v>69</v>
      </c>
      <c r="G783" s="2">
        <v>65</v>
      </c>
      <c r="H783" s="2">
        <v>0</v>
      </c>
      <c r="I783" s="2">
        <v>0</v>
      </c>
      <c r="J783" s="2">
        <f>ABS(F783-E783)</f>
        <v>4</v>
      </c>
      <c r="K783" s="29">
        <f>J783/E783</f>
        <v>6.1538461538461542E-2</v>
      </c>
      <c r="L783" s="2">
        <f>ABS(G783-E783)</f>
        <v>0</v>
      </c>
      <c r="M783" s="50">
        <f>(L783/E783)</f>
        <v>0</v>
      </c>
      <c r="N783" s="2">
        <v>68</v>
      </c>
      <c r="O783" s="11">
        <f t="shared" si="24"/>
        <v>3</v>
      </c>
      <c r="P783" s="29">
        <f t="shared" si="25"/>
        <v>4.6153846153846156E-2</v>
      </c>
    </row>
    <row r="784" spans="1:16" x14ac:dyDescent="0.35">
      <c r="A784" s="2" t="s">
        <v>49</v>
      </c>
      <c r="B784" s="2" t="s">
        <v>50</v>
      </c>
      <c r="C784" s="2" t="s">
        <v>11</v>
      </c>
      <c r="D784" s="2" t="s">
        <v>26</v>
      </c>
      <c r="E784" s="2">
        <v>73</v>
      </c>
      <c r="F784" s="2">
        <v>79</v>
      </c>
      <c r="G784" s="2">
        <v>70</v>
      </c>
      <c r="H784" s="2">
        <v>1</v>
      </c>
      <c r="I784" s="2">
        <v>0</v>
      </c>
      <c r="J784" s="2">
        <f>ABS(F784-E784)</f>
        <v>6</v>
      </c>
      <c r="K784" s="29">
        <f>J784/E784</f>
        <v>8.2191780821917804E-2</v>
      </c>
      <c r="L784" s="2">
        <f>ABS(G784-E784)</f>
        <v>3</v>
      </c>
      <c r="M784" s="50">
        <f>(L784/E784)</f>
        <v>4.1095890410958902E-2</v>
      </c>
      <c r="N784" s="2">
        <v>77</v>
      </c>
      <c r="O784" s="11">
        <f t="shared" si="24"/>
        <v>4</v>
      </c>
      <c r="P784" s="29">
        <f t="shared" si="25"/>
        <v>5.4794520547945202E-2</v>
      </c>
    </row>
    <row r="785" spans="1:16" x14ac:dyDescent="0.35">
      <c r="A785" s="2" t="s">
        <v>49</v>
      </c>
      <c r="B785" s="2" t="s">
        <v>50</v>
      </c>
      <c r="C785" s="2" t="s">
        <v>11</v>
      </c>
      <c r="D785" s="2" t="s">
        <v>27</v>
      </c>
      <c r="E785" s="2">
        <v>79</v>
      </c>
      <c r="F785" s="2">
        <v>75</v>
      </c>
      <c r="G785" s="2">
        <v>80</v>
      </c>
      <c r="H785" s="2">
        <v>0</v>
      </c>
      <c r="I785" s="2">
        <v>0</v>
      </c>
      <c r="J785" s="2">
        <f>ABS(F785-E785)</f>
        <v>4</v>
      </c>
      <c r="K785" s="29">
        <f>J785/E785</f>
        <v>5.0632911392405063E-2</v>
      </c>
      <c r="L785" s="2">
        <f>ABS(G785-E785)</f>
        <v>1</v>
      </c>
      <c r="M785" s="50">
        <f>(L785/E785)</f>
        <v>1.2658227848101266E-2</v>
      </c>
      <c r="N785" s="2">
        <v>75</v>
      </c>
      <c r="O785" s="11">
        <f t="shared" si="24"/>
        <v>4</v>
      </c>
      <c r="P785" s="29">
        <f t="shared" si="25"/>
        <v>5.0632911392405063E-2</v>
      </c>
    </row>
    <row r="786" spans="1:16" x14ac:dyDescent="0.35">
      <c r="A786" s="2" t="s">
        <v>49</v>
      </c>
      <c r="B786" s="2" t="s">
        <v>50</v>
      </c>
      <c r="C786" s="2" t="s">
        <v>11</v>
      </c>
      <c r="D786" s="2" t="s">
        <v>28</v>
      </c>
      <c r="E786" s="2">
        <v>68</v>
      </c>
      <c r="F786" s="2">
        <v>84</v>
      </c>
      <c r="G786" s="2">
        <v>70</v>
      </c>
      <c r="H786" s="2">
        <v>1</v>
      </c>
      <c r="I786" s="2">
        <v>0</v>
      </c>
      <c r="J786" s="2">
        <f>ABS(F786-E786)</f>
        <v>16</v>
      </c>
      <c r="K786" s="29">
        <f>J786/E786</f>
        <v>0.23529411764705882</v>
      </c>
      <c r="L786" s="2">
        <f>ABS(G786-E786)</f>
        <v>2</v>
      </c>
      <c r="M786" s="50">
        <f>(L786/E786)</f>
        <v>2.9411764705882353E-2</v>
      </c>
      <c r="N786" s="2">
        <v>73</v>
      </c>
      <c r="O786" s="11">
        <f t="shared" si="24"/>
        <v>5</v>
      </c>
      <c r="P786" s="29">
        <f t="shared" si="25"/>
        <v>7.3529411764705885E-2</v>
      </c>
    </row>
    <row r="787" spans="1:16" x14ac:dyDescent="0.35">
      <c r="A787" s="2" t="s">
        <v>49</v>
      </c>
      <c r="B787" s="2" t="s">
        <v>50</v>
      </c>
      <c r="C787" s="2" t="s">
        <v>11</v>
      </c>
      <c r="D787" s="2" t="s">
        <v>29</v>
      </c>
      <c r="E787" s="2">
        <v>65</v>
      </c>
      <c r="F787" s="2">
        <v>67</v>
      </c>
      <c r="G787" s="2">
        <v>64</v>
      </c>
      <c r="H787" s="2">
        <v>1</v>
      </c>
      <c r="I787" s="2">
        <v>0</v>
      </c>
      <c r="J787" s="2">
        <f>ABS(F787-E787)</f>
        <v>2</v>
      </c>
      <c r="K787" s="29">
        <f>J787/E787</f>
        <v>3.0769230769230771E-2</v>
      </c>
      <c r="L787" s="2">
        <f>ABS(G787-E787)</f>
        <v>1</v>
      </c>
      <c r="M787" s="50">
        <f>(L787/E787)</f>
        <v>1.5384615384615385E-2</v>
      </c>
      <c r="N787" s="2">
        <v>65</v>
      </c>
      <c r="O787" s="11">
        <f t="shared" si="24"/>
        <v>0</v>
      </c>
      <c r="P787" s="29">
        <f t="shared" si="25"/>
        <v>0</v>
      </c>
    </row>
    <row r="788" spans="1:16" x14ac:dyDescent="0.35">
      <c r="A788" s="2" t="s">
        <v>49</v>
      </c>
      <c r="B788" s="2" t="s">
        <v>50</v>
      </c>
      <c r="C788" s="2" t="s">
        <v>11</v>
      </c>
      <c r="D788" s="2" t="s">
        <v>30</v>
      </c>
      <c r="E788" s="2">
        <v>56</v>
      </c>
      <c r="F788" s="2">
        <v>54</v>
      </c>
      <c r="G788" s="2">
        <v>52</v>
      </c>
      <c r="H788" s="2">
        <v>0</v>
      </c>
      <c r="I788" s="2">
        <v>0</v>
      </c>
      <c r="J788" s="2">
        <f>ABS(F788-E788)</f>
        <v>2</v>
      </c>
      <c r="K788" s="29">
        <f>J788/E788</f>
        <v>3.5714285714285712E-2</v>
      </c>
      <c r="L788" s="2">
        <f>ABS(G788-E788)</f>
        <v>4</v>
      </c>
      <c r="M788" s="50">
        <f>(L788/E788)</f>
        <v>7.1428571428571425E-2</v>
      </c>
      <c r="N788" s="2">
        <v>59</v>
      </c>
      <c r="O788" s="11">
        <f t="shared" si="24"/>
        <v>3</v>
      </c>
      <c r="P788" s="29">
        <f t="shared" si="25"/>
        <v>5.3571428571428568E-2</v>
      </c>
    </row>
    <row r="789" spans="1:16" x14ac:dyDescent="0.35">
      <c r="A789" s="2" t="s">
        <v>49</v>
      </c>
      <c r="B789" s="2" t="s">
        <v>50</v>
      </c>
      <c r="C789" s="2" t="s">
        <v>11</v>
      </c>
      <c r="D789" s="2" t="s">
        <v>31</v>
      </c>
      <c r="E789" s="2">
        <v>57</v>
      </c>
      <c r="F789" s="2">
        <v>56</v>
      </c>
      <c r="G789" s="2">
        <v>56</v>
      </c>
      <c r="H789" s="2">
        <v>0</v>
      </c>
      <c r="I789" s="2">
        <v>0</v>
      </c>
      <c r="J789" s="2">
        <f>ABS(F789-E789)</f>
        <v>1</v>
      </c>
      <c r="K789" s="29">
        <f>J789/E789</f>
        <v>1.7543859649122806E-2</v>
      </c>
      <c r="L789" s="2">
        <f>ABS(G789-E789)</f>
        <v>1</v>
      </c>
      <c r="M789" s="50">
        <f>(L789/E789)</f>
        <v>1.7543859649122806E-2</v>
      </c>
      <c r="N789" s="2">
        <v>58</v>
      </c>
      <c r="O789" s="11">
        <f t="shared" si="24"/>
        <v>1</v>
      </c>
      <c r="P789" s="29">
        <f t="shared" si="25"/>
        <v>1.7543859649122806E-2</v>
      </c>
    </row>
    <row r="790" spans="1:16" x14ac:dyDescent="0.35">
      <c r="A790" s="2" t="s">
        <v>49</v>
      </c>
      <c r="B790" s="2" t="s">
        <v>50</v>
      </c>
      <c r="C790" s="2" t="s">
        <v>11</v>
      </c>
      <c r="D790" s="2" t="s">
        <v>32</v>
      </c>
      <c r="E790" s="2">
        <v>49</v>
      </c>
      <c r="F790" s="2">
        <v>51</v>
      </c>
      <c r="G790" s="2">
        <v>50</v>
      </c>
      <c r="H790" s="2">
        <v>0</v>
      </c>
      <c r="I790" s="2">
        <v>0</v>
      </c>
      <c r="J790" s="2">
        <f>ABS(F790-E790)</f>
        <v>2</v>
      </c>
      <c r="K790" s="29">
        <f>J790/E790</f>
        <v>4.0816326530612242E-2</v>
      </c>
      <c r="L790" s="2">
        <f>ABS(G790-E790)</f>
        <v>1</v>
      </c>
      <c r="M790" s="50">
        <f>(L790/E790)</f>
        <v>2.0408163265306121E-2</v>
      </c>
      <c r="N790" s="2">
        <v>54</v>
      </c>
      <c r="O790" s="11">
        <f t="shared" si="24"/>
        <v>5</v>
      </c>
      <c r="P790" s="29">
        <f t="shared" si="25"/>
        <v>0.10204081632653061</v>
      </c>
    </row>
    <row r="791" spans="1:16" x14ac:dyDescent="0.35">
      <c r="A791" s="2" t="s">
        <v>49</v>
      </c>
      <c r="B791" s="2" t="s">
        <v>50</v>
      </c>
      <c r="C791" s="2" t="s">
        <v>11</v>
      </c>
      <c r="D791" s="2" t="s">
        <v>33</v>
      </c>
      <c r="E791" s="2">
        <v>56</v>
      </c>
      <c r="F791" s="2">
        <v>56</v>
      </c>
      <c r="G791" s="2">
        <v>54</v>
      </c>
      <c r="H791" s="2">
        <v>1</v>
      </c>
      <c r="I791" s="2">
        <v>0</v>
      </c>
      <c r="J791" s="2">
        <f>ABS(F791-E791)</f>
        <v>0</v>
      </c>
      <c r="K791" s="29">
        <f>J791/E791</f>
        <v>0</v>
      </c>
      <c r="L791" s="2">
        <f>ABS(G791-E791)</f>
        <v>2</v>
      </c>
      <c r="M791" s="50">
        <f>(L791/E791)</f>
        <v>3.5714285714285712E-2</v>
      </c>
      <c r="N791" s="2">
        <v>57</v>
      </c>
      <c r="O791" s="11">
        <f t="shared" si="24"/>
        <v>1</v>
      </c>
      <c r="P791" s="29">
        <f t="shared" si="25"/>
        <v>1.7857142857142856E-2</v>
      </c>
    </row>
    <row r="792" spans="1:16" x14ac:dyDescent="0.35">
      <c r="A792" s="2" t="s">
        <v>49</v>
      </c>
      <c r="B792" s="2" t="s">
        <v>50</v>
      </c>
      <c r="C792" s="2" t="s">
        <v>11</v>
      </c>
      <c r="D792" s="2" t="s">
        <v>34</v>
      </c>
      <c r="E792" s="2">
        <v>63</v>
      </c>
      <c r="F792" s="2">
        <v>59</v>
      </c>
      <c r="G792" s="2">
        <v>64</v>
      </c>
      <c r="H792" s="2">
        <v>0</v>
      </c>
      <c r="I792" s="2">
        <v>0</v>
      </c>
      <c r="J792" s="2">
        <f>ABS(F792-E792)</f>
        <v>4</v>
      </c>
      <c r="K792" s="29">
        <f>J792/E792</f>
        <v>6.3492063492063489E-2</v>
      </c>
      <c r="L792" s="2">
        <f>ABS(G792-E792)</f>
        <v>1</v>
      </c>
      <c r="M792" s="50">
        <f>(L792/E792)</f>
        <v>1.5873015873015872E-2</v>
      </c>
      <c r="N792" s="2">
        <v>58</v>
      </c>
      <c r="O792" s="11">
        <f t="shared" si="24"/>
        <v>5</v>
      </c>
      <c r="P792" s="29">
        <f t="shared" si="25"/>
        <v>7.9365079365079361E-2</v>
      </c>
    </row>
    <row r="793" spans="1:16" x14ac:dyDescent="0.35">
      <c r="A793" s="2" t="s">
        <v>49</v>
      </c>
      <c r="B793" s="2" t="s">
        <v>50</v>
      </c>
      <c r="C793" s="2" t="s">
        <v>11</v>
      </c>
      <c r="D793" s="2" t="s">
        <v>35</v>
      </c>
      <c r="E793" s="2">
        <v>71</v>
      </c>
      <c r="F793" s="2">
        <v>57</v>
      </c>
      <c r="G793" s="2">
        <v>73</v>
      </c>
      <c r="H793" s="2">
        <v>0</v>
      </c>
      <c r="I793" s="2">
        <v>0</v>
      </c>
      <c r="J793" s="2">
        <f>ABS(F793-E793)</f>
        <v>14</v>
      </c>
      <c r="K793" s="29">
        <f>J793/E793</f>
        <v>0.19718309859154928</v>
      </c>
      <c r="L793" s="2">
        <f>ABS(G793-E793)</f>
        <v>2</v>
      </c>
      <c r="M793" s="50">
        <f>(L793/E793)</f>
        <v>2.8169014084507043E-2</v>
      </c>
      <c r="N793" s="2">
        <v>61</v>
      </c>
      <c r="O793" s="11">
        <f t="shared" si="24"/>
        <v>10</v>
      </c>
      <c r="P793" s="29">
        <f t="shared" si="25"/>
        <v>0.14084507042253522</v>
      </c>
    </row>
    <row r="794" spans="1:16" x14ac:dyDescent="0.35">
      <c r="A794" s="2" t="s">
        <v>49</v>
      </c>
      <c r="B794" s="2" t="s">
        <v>50</v>
      </c>
      <c r="C794" s="2" t="s">
        <v>36</v>
      </c>
      <c r="D794" s="2" t="s">
        <v>12</v>
      </c>
      <c r="E794" s="2">
        <v>92</v>
      </c>
      <c r="F794" s="2">
        <v>87</v>
      </c>
      <c r="G794" s="2">
        <v>94</v>
      </c>
      <c r="H794" s="2">
        <v>1</v>
      </c>
      <c r="I794" s="2">
        <v>1</v>
      </c>
      <c r="J794" s="2">
        <f>ABS(F794-E794)</f>
        <v>5</v>
      </c>
      <c r="K794" s="29">
        <f>J794/E794</f>
        <v>5.434782608695652E-2</v>
      </c>
      <c r="L794" s="2">
        <f>ABS(G794-E794)</f>
        <v>2</v>
      </c>
      <c r="M794" s="50">
        <f>(L794/E794)</f>
        <v>2.1739130434782608E-2</v>
      </c>
      <c r="N794" s="2">
        <v>82</v>
      </c>
      <c r="O794" s="11">
        <f t="shared" si="24"/>
        <v>10</v>
      </c>
      <c r="P794" s="29">
        <f t="shared" si="25"/>
        <v>0.10869565217391304</v>
      </c>
    </row>
    <row r="795" spans="1:16" x14ac:dyDescent="0.35">
      <c r="A795" s="2" t="s">
        <v>49</v>
      </c>
      <c r="B795" s="2" t="s">
        <v>50</v>
      </c>
      <c r="C795" s="2" t="s">
        <v>36</v>
      </c>
      <c r="D795" s="2" t="s">
        <v>13</v>
      </c>
      <c r="E795" s="2">
        <v>218</v>
      </c>
      <c r="F795" s="2">
        <v>267</v>
      </c>
      <c r="G795" s="2">
        <v>206</v>
      </c>
      <c r="H795" s="2">
        <v>0</v>
      </c>
      <c r="I795" s="2">
        <v>0</v>
      </c>
      <c r="J795" s="2">
        <f>ABS(F795-E795)</f>
        <v>49</v>
      </c>
      <c r="K795" s="29">
        <f>J795/E795</f>
        <v>0.22477064220183487</v>
      </c>
      <c r="L795" s="2">
        <f>ABS(G795-E795)</f>
        <v>12</v>
      </c>
      <c r="M795" s="50">
        <f>(L795/E795)</f>
        <v>5.5045871559633031E-2</v>
      </c>
      <c r="N795" s="2">
        <v>220</v>
      </c>
      <c r="O795" s="11">
        <f t="shared" si="24"/>
        <v>2</v>
      </c>
      <c r="P795" s="29">
        <f t="shared" si="25"/>
        <v>9.1743119266055051E-3</v>
      </c>
    </row>
    <row r="796" spans="1:16" x14ac:dyDescent="0.35">
      <c r="A796" s="2" t="s">
        <v>49</v>
      </c>
      <c r="B796" s="2" t="s">
        <v>50</v>
      </c>
      <c r="C796" s="2" t="s">
        <v>36</v>
      </c>
      <c r="D796" s="2" t="s">
        <v>14</v>
      </c>
      <c r="E796" s="2">
        <v>213</v>
      </c>
      <c r="F796" s="2">
        <v>241</v>
      </c>
      <c r="G796" s="2">
        <v>208</v>
      </c>
      <c r="H796" s="2">
        <v>0</v>
      </c>
      <c r="I796" s="2">
        <v>0</v>
      </c>
      <c r="J796" s="2">
        <f>ABS(F796-E796)</f>
        <v>28</v>
      </c>
      <c r="K796" s="29">
        <f>J796/E796</f>
        <v>0.13145539906103287</v>
      </c>
      <c r="L796" s="2">
        <f>ABS(G796-E796)</f>
        <v>5</v>
      </c>
      <c r="M796" s="50">
        <f>(L796/E796)</f>
        <v>2.3474178403755867E-2</v>
      </c>
      <c r="N796" s="2">
        <v>210</v>
      </c>
      <c r="O796" s="11">
        <f t="shared" si="24"/>
        <v>3</v>
      </c>
      <c r="P796" s="29">
        <f t="shared" si="25"/>
        <v>1.4084507042253521E-2</v>
      </c>
    </row>
    <row r="797" spans="1:16" x14ac:dyDescent="0.35">
      <c r="A797" s="2" t="s">
        <v>49</v>
      </c>
      <c r="B797" s="2" t="s">
        <v>50</v>
      </c>
      <c r="C797" s="2" t="s">
        <v>36</v>
      </c>
      <c r="D797" s="2" t="s">
        <v>15</v>
      </c>
      <c r="E797" s="2">
        <v>224</v>
      </c>
      <c r="F797" s="2">
        <v>268</v>
      </c>
      <c r="G797" s="2">
        <v>227</v>
      </c>
      <c r="H797" s="2">
        <v>0</v>
      </c>
      <c r="I797" s="2">
        <v>0</v>
      </c>
      <c r="J797" s="2">
        <f>ABS(F797-E797)</f>
        <v>44</v>
      </c>
      <c r="K797" s="29">
        <f>J797/E797</f>
        <v>0.19642857142857142</v>
      </c>
      <c r="L797" s="2">
        <f>ABS(G797-E797)</f>
        <v>3</v>
      </c>
      <c r="M797" s="50">
        <f>(L797/E797)</f>
        <v>1.3392857142857142E-2</v>
      </c>
      <c r="N797" s="2">
        <v>217</v>
      </c>
      <c r="O797" s="11">
        <f t="shared" si="24"/>
        <v>7</v>
      </c>
      <c r="P797" s="29">
        <f t="shared" si="25"/>
        <v>3.125E-2</v>
      </c>
    </row>
    <row r="798" spans="1:16" x14ac:dyDescent="0.35">
      <c r="A798" s="2" t="s">
        <v>49</v>
      </c>
      <c r="B798" s="2" t="s">
        <v>50</v>
      </c>
      <c r="C798" s="2" t="s">
        <v>36</v>
      </c>
      <c r="D798" s="2" t="s">
        <v>16</v>
      </c>
      <c r="E798" s="2">
        <v>101</v>
      </c>
      <c r="F798" s="2">
        <v>103</v>
      </c>
      <c r="G798" s="2">
        <v>99</v>
      </c>
      <c r="H798" s="2">
        <v>1</v>
      </c>
      <c r="I798" s="2">
        <v>1</v>
      </c>
      <c r="J798" s="2">
        <f>ABS(F798-E798)</f>
        <v>2</v>
      </c>
      <c r="K798" s="29">
        <f>J798/E798</f>
        <v>1.9801980198019802E-2</v>
      </c>
      <c r="L798" s="2">
        <f>ABS(G798-E798)</f>
        <v>2</v>
      </c>
      <c r="M798" s="50">
        <f>(L798/E798)</f>
        <v>1.9801980198019802E-2</v>
      </c>
      <c r="N798" s="2">
        <v>103</v>
      </c>
      <c r="O798" s="11">
        <f t="shared" si="24"/>
        <v>2</v>
      </c>
      <c r="P798" s="29">
        <f t="shared" si="25"/>
        <v>1.9801980198019802E-2</v>
      </c>
    </row>
    <row r="799" spans="1:16" x14ac:dyDescent="0.35">
      <c r="A799" s="2" t="s">
        <v>49</v>
      </c>
      <c r="B799" s="2" t="s">
        <v>50</v>
      </c>
      <c r="C799" s="2" t="s">
        <v>36</v>
      </c>
      <c r="D799" s="2" t="s">
        <v>17</v>
      </c>
      <c r="E799" s="2">
        <v>175</v>
      </c>
      <c r="F799" s="2">
        <v>205</v>
      </c>
      <c r="G799" s="2">
        <v>166</v>
      </c>
      <c r="H799" s="2">
        <v>0</v>
      </c>
      <c r="I799" s="2">
        <v>0</v>
      </c>
      <c r="J799" s="2">
        <f>ABS(F799-E799)</f>
        <v>30</v>
      </c>
      <c r="K799" s="29">
        <f>J799/E799</f>
        <v>0.17142857142857143</v>
      </c>
      <c r="L799" s="2">
        <f>ABS(G799-E799)</f>
        <v>9</v>
      </c>
      <c r="M799" s="50">
        <f>(L799/E799)</f>
        <v>5.1428571428571428E-2</v>
      </c>
      <c r="N799" s="2">
        <v>172</v>
      </c>
      <c r="O799" s="11">
        <f t="shared" si="24"/>
        <v>3</v>
      </c>
      <c r="P799" s="29">
        <f t="shared" si="25"/>
        <v>1.7142857142857144E-2</v>
      </c>
    </row>
    <row r="800" spans="1:16" x14ac:dyDescent="0.35">
      <c r="A800" s="2" t="s">
        <v>49</v>
      </c>
      <c r="B800" s="2" t="s">
        <v>50</v>
      </c>
      <c r="C800" s="2" t="s">
        <v>36</v>
      </c>
      <c r="D800" s="2" t="s">
        <v>18</v>
      </c>
      <c r="E800" s="2">
        <v>120</v>
      </c>
      <c r="F800" s="2">
        <v>126</v>
      </c>
      <c r="G800" s="2">
        <v>120</v>
      </c>
      <c r="H800" s="2">
        <v>0</v>
      </c>
      <c r="I800" s="2">
        <v>0</v>
      </c>
      <c r="J800" s="2">
        <f>ABS(F800-E800)</f>
        <v>6</v>
      </c>
      <c r="K800" s="29">
        <f>J800/E800</f>
        <v>0.05</v>
      </c>
      <c r="L800" s="2">
        <f>ABS(G800-E800)</f>
        <v>0</v>
      </c>
      <c r="M800" s="50">
        <f>(L800/E800)</f>
        <v>0</v>
      </c>
      <c r="N800" s="2">
        <v>128</v>
      </c>
      <c r="O800" s="11">
        <f t="shared" si="24"/>
        <v>8</v>
      </c>
      <c r="P800" s="29">
        <f t="shared" si="25"/>
        <v>6.6666666666666666E-2</v>
      </c>
    </row>
    <row r="801" spans="1:16" x14ac:dyDescent="0.35">
      <c r="A801" s="2" t="s">
        <v>49</v>
      </c>
      <c r="B801" s="2" t="s">
        <v>50</v>
      </c>
      <c r="C801" s="2" t="s">
        <v>36</v>
      </c>
      <c r="D801" s="2" t="s">
        <v>19</v>
      </c>
      <c r="E801" s="2">
        <v>166</v>
      </c>
      <c r="F801" s="2">
        <v>205</v>
      </c>
      <c r="G801" s="2">
        <v>173</v>
      </c>
      <c r="H801" s="2">
        <v>0</v>
      </c>
      <c r="I801" s="2">
        <v>0</v>
      </c>
      <c r="J801" s="2">
        <f>ABS(F801-E801)</f>
        <v>39</v>
      </c>
      <c r="K801" s="29">
        <f>J801/E801</f>
        <v>0.23493975903614459</v>
      </c>
      <c r="L801" s="2">
        <f>ABS(G801-E801)</f>
        <v>7</v>
      </c>
      <c r="M801" s="50">
        <f>(L801/E801)</f>
        <v>4.2168674698795178E-2</v>
      </c>
      <c r="N801" s="2">
        <v>167</v>
      </c>
      <c r="O801" s="11">
        <f t="shared" si="24"/>
        <v>1</v>
      </c>
      <c r="P801" s="29">
        <f t="shared" si="25"/>
        <v>6.024096385542169E-3</v>
      </c>
    </row>
    <row r="802" spans="1:16" x14ac:dyDescent="0.35">
      <c r="A802" s="2" t="s">
        <v>49</v>
      </c>
      <c r="B802" s="2" t="s">
        <v>50</v>
      </c>
      <c r="C802" s="2" t="s">
        <v>36</v>
      </c>
      <c r="D802" s="2" t="s">
        <v>20</v>
      </c>
      <c r="E802" s="2">
        <v>163</v>
      </c>
      <c r="F802" s="2">
        <v>207</v>
      </c>
      <c r="G802" s="2">
        <v>169</v>
      </c>
      <c r="H802" s="2">
        <v>0</v>
      </c>
      <c r="I802" s="2">
        <v>0</v>
      </c>
      <c r="J802" s="2">
        <f>ABS(F802-E802)</f>
        <v>44</v>
      </c>
      <c r="K802" s="29">
        <f>J802/E802</f>
        <v>0.26993865030674846</v>
      </c>
      <c r="L802" s="2">
        <f>ABS(G802-E802)</f>
        <v>6</v>
      </c>
      <c r="M802" s="50">
        <f>(L802/E802)</f>
        <v>3.6809815950920248E-2</v>
      </c>
      <c r="N802" s="2">
        <v>168</v>
      </c>
      <c r="O802" s="11">
        <f t="shared" si="24"/>
        <v>5</v>
      </c>
      <c r="P802" s="29">
        <f t="shared" si="25"/>
        <v>3.0674846625766871E-2</v>
      </c>
    </row>
    <row r="803" spans="1:16" x14ac:dyDescent="0.35">
      <c r="A803" s="2" t="s">
        <v>49</v>
      </c>
      <c r="B803" s="2" t="s">
        <v>50</v>
      </c>
      <c r="C803" s="2" t="s">
        <v>36</v>
      </c>
      <c r="D803" s="2" t="s">
        <v>21</v>
      </c>
      <c r="E803" s="2">
        <v>143</v>
      </c>
      <c r="F803" s="2">
        <v>186</v>
      </c>
      <c r="G803" s="2">
        <v>129</v>
      </c>
      <c r="H803" s="2">
        <v>0</v>
      </c>
      <c r="I803" s="2">
        <v>0</v>
      </c>
      <c r="J803" s="2">
        <f>ABS(F803-E803)</f>
        <v>43</v>
      </c>
      <c r="K803" s="29">
        <f>J803/E803</f>
        <v>0.30069930069930068</v>
      </c>
      <c r="L803" s="2">
        <f>ABS(G803-E803)</f>
        <v>14</v>
      </c>
      <c r="M803" s="50">
        <f>(L803/E803)</f>
        <v>9.7902097902097904E-2</v>
      </c>
      <c r="N803" s="2">
        <v>149</v>
      </c>
      <c r="O803" s="11">
        <f t="shared" si="24"/>
        <v>6</v>
      </c>
      <c r="P803" s="29">
        <f t="shared" si="25"/>
        <v>4.195804195804196E-2</v>
      </c>
    </row>
    <row r="804" spans="1:16" x14ac:dyDescent="0.35">
      <c r="A804" s="2" t="s">
        <v>49</v>
      </c>
      <c r="B804" s="2" t="s">
        <v>50</v>
      </c>
      <c r="C804" s="2" t="s">
        <v>36</v>
      </c>
      <c r="D804" s="2" t="s">
        <v>22</v>
      </c>
      <c r="E804" s="2">
        <v>165</v>
      </c>
      <c r="F804" s="2">
        <v>181</v>
      </c>
      <c r="G804" s="2">
        <v>150</v>
      </c>
      <c r="H804" s="2">
        <v>0</v>
      </c>
      <c r="I804" s="2">
        <v>0</v>
      </c>
      <c r="J804" s="2">
        <f>ABS(F804-E804)</f>
        <v>16</v>
      </c>
      <c r="K804" s="29">
        <f>J804/E804</f>
        <v>9.696969696969697E-2</v>
      </c>
      <c r="L804" s="2">
        <f>ABS(G804-E804)</f>
        <v>15</v>
      </c>
      <c r="M804" s="50">
        <f>(L804/E804)</f>
        <v>9.0909090909090912E-2</v>
      </c>
      <c r="N804" s="2">
        <v>159</v>
      </c>
      <c r="O804" s="11">
        <f t="shared" si="24"/>
        <v>6</v>
      </c>
      <c r="P804" s="29">
        <f t="shared" si="25"/>
        <v>3.6363636363636362E-2</v>
      </c>
    </row>
    <row r="805" spans="1:16" x14ac:dyDescent="0.35">
      <c r="A805" s="2" t="s">
        <v>49</v>
      </c>
      <c r="B805" s="2" t="s">
        <v>50</v>
      </c>
      <c r="C805" s="2" t="s">
        <v>36</v>
      </c>
      <c r="D805" s="2" t="s">
        <v>23</v>
      </c>
      <c r="E805" s="2">
        <v>183</v>
      </c>
      <c r="F805" s="2">
        <v>229</v>
      </c>
      <c r="G805" s="2">
        <v>186</v>
      </c>
      <c r="H805" s="2">
        <v>1</v>
      </c>
      <c r="I805" s="2">
        <v>0</v>
      </c>
      <c r="J805" s="2">
        <f>ABS(F805-E805)</f>
        <v>46</v>
      </c>
      <c r="K805" s="29">
        <f>J805/E805</f>
        <v>0.25136612021857924</v>
      </c>
      <c r="L805" s="2">
        <f>ABS(G805-E805)</f>
        <v>3</v>
      </c>
      <c r="M805" s="50">
        <f>(L805/E805)</f>
        <v>1.6393442622950821E-2</v>
      </c>
      <c r="N805" s="2">
        <v>182</v>
      </c>
      <c r="O805" s="11">
        <f t="shared" si="24"/>
        <v>1</v>
      </c>
      <c r="P805" s="29">
        <f t="shared" si="25"/>
        <v>5.4644808743169399E-3</v>
      </c>
    </row>
    <row r="806" spans="1:16" x14ac:dyDescent="0.35">
      <c r="A806" s="2" t="s">
        <v>49</v>
      </c>
      <c r="B806" s="2" t="s">
        <v>50</v>
      </c>
      <c r="C806" s="2" t="s">
        <v>36</v>
      </c>
      <c r="D806" s="2" t="s">
        <v>24</v>
      </c>
      <c r="E806" s="2">
        <v>179</v>
      </c>
      <c r="F806" s="2">
        <v>233</v>
      </c>
      <c r="G806" s="2">
        <v>178</v>
      </c>
      <c r="H806" s="2">
        <v>0</v>
      </c>
      <c r="I806" s="2">
        <v>0</v>
      </c>
      <c r="J806" s="2">
        <f>ABS(F806-E806)</f>
        <v>54</v>
      </c>
      <c r="K806" s="29">
        <f>J806/E806</f>
        <v>0.3016759776536313</v>
      </c>
      <c r="L806" s="2">
        <f>ABS(G806-E806)</f>
        <v>1</v>
      </c>
      <c r="M806" s="50">
        <f>(L806/E806)</f>
        <v>5.5865921787709499E-3</v>
      </c>
      <c r="N806" s="2">
        <v>192</v>
      </c>
      <c r="O806" s="11">
        <f t="shared" si="24"/>
        <v>13</v>
      </c>
      <c r="P806" s="29">
        <f t="shared" si="25"/>
        <v>7.2625698324022353E-2</v>
      </c>
    </row>
    <row r="807" spans="1:16" x14ac:dyDescent="0.35">
      <c r="A807" s="2" t="s">
        <v>49</v>
      </c>
      <c r="B807" s="2" t="s">
        <v>50</v>
      </c>
      <c r="C807" s="2" t="s">
        <v>36</v>
      </c>
      <c r="D807" s="2" t="s">
        <v>25</v>
      </c>
      <c r="E807" s="2">
        <v>212</v>
      </c>
      <c r="F807" s="2">
        <v>269</v>
      </c>
      <c r="G807" s="2">
        <v>203</v>
      </c>
      <c r="H807" s="2">
        <v>0</v>
      </c>
      <c r="I807" s="2">
        <v>0</v>
      </c>
      <c r="J807" s="2">
        <f>ABS(F807-E807)</f>
        <v>57</v>
      </c>
      <c r="K807" s="29">
        <f>J807/E807</f>
        <v>0.26886792452830188</v>
      </c>
      <c r="L807" s="2">
        <f>ABS(G807-E807)</f>
        <v>9</v>
      </c>
      <c r="M807" s="50">
        <f>(L807/E807)</f>
        <v>4.2452830188679243E-2</v>
      </c>
      <c r="N807" s="2">
        <v>216</v>
      </c>
      <c r="O807" s="11">
        <f t="shared" si="24"/>
        <v>4</v>
      </c>
      <c r="P807" s="29">
        <f t="shared" si="25"/>
        <v>1.8867924528301886E-2</v>
      </c>
    </row>
    <row r="808" spans="1:16" x14ac:dyDescent="0.35">
      <c r="A808" s="2" t="s">
        <v>49</v>
      </c>
      <c r="B808" s="2" t="s">
        <v>50</v>
      </c>
      <c r="C808" s="2" t="s">
        <v>36</v>
      </c>
      <c r="D808" s="2" t="s">
        <v>26</v>
      </c>
      <c r="E808" s="2">
        <v>235</v>
      </c>
      <c r="F808" s="2">
        <v>261</v>
      </c>
      <c r="G808" s="2">
        <v>244</v>
      </c>
      <c r="H808" s="2">
        <v>1</v>
      </c>
      <c r="I808" s="2">
        <v>0</v>
      </c>
      <c r="J808" s="2">
        <f>ABS(F808-E808)</f>
        <v>26</v>
      </c>
      <c r="K808" s="29">
        <f>J808/E808</f>
        <v>0.11063829787234042</v>
      </c>
      <c r="L808" s="2">
        <f>ABS(G808-E808)</f>
        <v>9</v>
      </c>
      <c r="M808" s="50">
        <f>(L808/E808)</f>
        <v>3.8297872340425532E-2</v>
      </c>
      <c r="N808" s="2">
        <v>221</v>
      </c>
      <c r="O808" s="11">
        <f t="shared" si="24"/>
        <v>14</v>
      </c>
      <c r="P808" s="29">
        <f t="shared" si="25"/>
        <v>5.9574468085106386E-2</v>
      </c>
    </row>
    <row r="809" spans="1:16" x14ac:dyDescent="0.35">
      <c r="A809" s="2" t="s">
        <v>49</v>
      </c>
      <c r="B809" s="2" t="s">
        <v>50</v>
      </c>
      <c r="C809" s="2" t="s">
        <v>36</v>
      </c>
      <c r="D809" s="2" t="s">
        <v>27</v>
      </c>
      <c r="E809" s="2">
        <v>183</v>
      </c>
      <c r="F809" s="2">
        <v>234</v>
      </c>
      <c r="G809" s="2">
        <v>193</v>
      </c>
      <c r="H809" s="2">
        <v>0</v>
      </c>
      <c r="I809" s="2">
        <v>0</v>
      </c>
      <c r="J809" s="2">
        <f>ABS(F809-E809)</f>
        <v>51</v>
      </c>
      <c r="K809" s="29">
        <f>J809/E809</f>
        <v>0.27868852459016391</v>
      </c>
      <c r="L809" s="2">
        <f>ABS(G809-E809)</f>
        <v>10</v>
      </c>
      <c r="M809" s="50">
        <f>(L809/E809)</f>
        <v>5.4644808743169397E-2</v>
      </c>
      <c r="N809" s="2">
        <v>195</v>
      </c>
      <c r="O809" s="11">
        <f t="shared" si="24"/>
        <v>12</v>
      </c>
      <c r="P809" s="29">
        <f t="shared" si="25"/>
        <v>6.5573770491803282E-2</v>
      </c>
    </row>
    <row r="810" spans="1:16" x14ac:dyDescent="0.35">
      <c r="A810" s="2" t="s">
        <v>49</v>
      </c>
      <c r="B810" s="2" t="s">
        <v>50</v>
      </c>
      <c r="C810" s="2" t="s">
        <v>36</v>
      </c>
      <c r="D810" s="2" t="s">
        <v>28</v>
      </c>
      <c r="E810" s="2">
        <v>214</v>
      </c>
      <c r="F810" s="2">
        <v>279</v>
      </c>
      <c r="G810" s="2">
        <v>214</v>
      </c>
      <c r="H810" s="2">
        <v>1</v>
      </c>
      <c r="I810" s="2">
        <v>0</v>
      </c>
      <c r="J810" s="2">
        <f>ABS(F810-E810)</f>
        <v>65</v>
      </c>
      <c r="K810" s="29">
        <f>J810/E810</f>
        <v>0.30373831775700932</v>
      </c>
      <c r="L810" s="2">
        <f>ABS(G810-E810)</f>
        <v>0</v>
      </c>
      <c r="M810" s="50">
        <f>(L810/E810)</f>
        <v>0</v>
      </c>
      <c r="N810" s="2">
        <v>215</v>
      </c>
      <c r="O810" s="11">
        <f t="shared" si="24"/>
        <v>1</v>
      </c>
      <c r="P810" s="29">
        <f t="shared" si="25"/>
        <v>4.6728971962616819E-3</v>
      </c>
    </row>
    <row r="811" spans="1:16" x14ac:dyDescent="0.35">
      <c r="A811" s="2" t="s">
        <v>49</v>
      </c>
      <c r="B811" s="2" t="s">
        <v>50</v>
      </c>
      <c r="C811" s="2" t="s">
        <v>36</v>
      </c>
      <c r="D811" s="2" t="s">
        <v>29</v>
      </c>
      <c r="E811" s="2">
        <v>172</v>
      </c>
      <c r="F811" s="2">
        <v>216</v>
      </c>
      <c r="G811" s="2">
        <v>156</v>
      </c>
      <c r="H811" s="2">
        <v>0</v>
      </c>
      <c r="I811" s="2">
        <v>0</v>
      </c>
      <c r="J811" s="2">
        <f>ABS(F811-E811)</f>
        <v>44</v>
      </c>
      <c r="K811" s="29">
        <f>J811/E811</f>
        <v>0.2558139534883721</v>
      </c>
      <c r="L811" s="2">
        <f>ABS(G811-E811)</f>
        <v>16</v>
      </c>
      <c r="M811" s="50">
        <f>(L811/E811)</f>
        <v>9.3023255813953487E-2</v>
      </c>
      <c r="N811" s="2">
        <v>182</v>
      </c>
      <c r="O811" s="11">
        <f t="shared" si="24"/>
        <v>10</v>
      </c>
      <c r="P811" s="29">
        <f t="shared" si="25"/>
        <v>5.8139534883720929E-2</v>
      </c>
    </row>
    <row r="812" spans="1:16" x14ac:dyDescent="0.35">
      <c r="A812" s="2" t="s">
        <v>49</v>
      </c>
      <c r="B812" s="2" t="s">
        <v>50</v>
      </c>
      <c r="C812" s="2" t="s">
        <v>36</v>
      </c>
      <c r="D812" s="2" t="s">
        <v>30</v>
      </c>
      <c r="E812" s="2">
        <v>159</v>
      </c>
      <c r="F812" s="2">
        <v>204</v>
      </c>
      <c r="G812" s="2">
        <v>155</v>
      </c>
      <c r="H812" s="2">
        <v>0</v>
      </c>
      <c r="I812" s="2">
        <v>0</v>
      </c>
      <c r="J812" s="2">
        <f>ABS(F812-E812)</f>
        <v>45</v>
      </c>
      <c r="K812" s="29">
        <f>J812/E812</f>
        <v>0.28301886792452829</v>
      </c>
      <c r="L812" s="2">
        <f>ABS(G812-E812)</f>
        <v>4</v>
      </c>
      <c r="M812" s="50">
        <f>(L812/E812)</f>
        <v>2.5157232704402517E-2</v>
      </c>
      <c r="N812" s="2">
        <v>169</v>
      </c>
      <c r="O812" s="11">
        <f t="shared" si="24"/>
        <v>10</v>
      </c>
      <c r="P812" s="29">
        <f t="shared" si="25"/>
        <v>6.2893081761006289E-2</v>
      </c>
    </row>
    <row r="813" spans="1:16" x14ac:dyDescent="0.35">
      <c r="A813" s="2" t="s">
        <v>49</v>
      </c>
      <c r="B813" s="2" t="s">
        <v>50</v>
      </c>
      <c r="C813" s="2" t="s">
        <v>36</v>
      </c>
      <c r="D813" s="2" t="s">
        <v>31</v>
      </c>
      <c r="E813" s="2">
        <v>160</v>
      </c>
      <c r="F813" s="2">
        <v>196</v>
      </c>
      <c r="G813" s="2">
        <v>159</v>
      </c>
      <c r="H813" s="2">
        <v>0</v>
      </c>
      <c r="I813" s="2">
        <v>0</v>
      </c>
      <c r="J813" s="2">
        <f>ABS(F813-E813)</f>
        <v>36</v>
      </c>
      <c r="K813" s="29">
        <f>J813/E813</f>
        <v>0.22500000000000001</v>
      </c>
      <c r="L813" s="2">
        <f>ABS(G813-E813)</f>
        <v>1</v>
      </c>
      <c r="M813" s="50">
        <f>(L813/E813)</f>
        <v>6.2500000000000003E-3</v>
      </c>
      <c r="N813" s="2">
        <v>157</v>
      </c>
      <c r="O813" s="11">
        <f t="shared" si="24"/>
        <v>3</v>
      </c>
      <c r="P813" s="29">
        <f t="shared" si="25"/>
        <v>1.8749999999999999E-2</v>
      </c>
    </row>
    <row r="814" spans="1:16" x14ac:dyDescent="0.35">
      <c r="A814" s="2" t="s">
        <v>49</v>
      </c>
      <c r="B814" s="2" t="s">
        <v>50</v>
      </c>
      <c r="C814" s="2" t="s">
        <v>36</v>
      </c>
      <c r="D814" s="2" t="s">
        <v>32</v>
      </c>
      <c r="E814" s="2">
        <v>147</v>
      </c>
      <c r="F814" s="2">
        <v>159</v>
      </c>
      <c r="G814" s="2">
        <v>144</v>
      </c>
      <c r="H814" s="2">
        <v>0</v>
      </c>
      <c r="I814" s="2">
        <v>0</v>
      </c>
      <c r="J814" s="2">
        <f>ABS(F814-E814)</f>
        <v>12</v>
      </c>
      <c r="K814" s="29">
        <f>J814/E814</f>
        <v>8.1632653061224483E-2</v>
      </c>
      <c r="L814" s="2">
        <f>ABS(G814-E814)</f>
        <v>3</v>
      </c>
      <c r="M814" s="50">
        <f>(L814/E814)</f>
        <v>2.0408163265306121E-2</v>
      </c>
      <c r="N814" s="2">
        <v>147</v>
      </c>
      <c r="O814" s="11">
        <f t="shared" si="24"/>
        <v>0</v>
      </c>
      <c r="P814" s="29">
        <f t="shared" si="25"/>
        <v>0</v>
      </c>
    </row>
    <row r="815" spans="1:16" x14ac:dyDescent="0.35">
      <c r="A815" s="2" t="s">
        <v>49</v>
      </c>
      <c r="B815" s="2" t="s">
        <v>50</v>
      </c>
      <c r="C815" s="2" t="s">
        <v>36</v>
      </c>
      <c r="D815" s="2" t="s">
        <v>33</v>
      </c>
      <c r="E815" s="2">
        <v>131</v>
      </c>
      <c r="F815" s="2">
        <v>144</v>
      </c>
      <c r="G815" s="2">
        <v>117</v>
      </c>
      <c r="H815" s="2">
        <v>0</v>
      </c>
      <c r="I815" s="2">
        <v>0</v>
      </c>
      <c r="J815" s="2">
        <f>ABS(F815-E815)</f>
        <v>13</v>
      </c>
      <c r="K815" s="29">
        <f>J815/E815</f>
        <v>9.9236641221374045E-2</v>
      </c>
      <c r="L815" s="2">
        <f>ABS(G815-E815)</f>
        <v>14</v>
      </c>
      <c r="M815" s="50">
        <f>(L815/E815)</f>
        <v>0.10687022900763359</v>
      </c>
      <c r="N815" s="2">
        <v>132</v>
      </c>
      <c r="O815" s="11">
        <f t="shared" si="24"/>
        <v>1</v>
      </c>
      <c r="P815" s="29">
        <f t="shared" si="25"/>
        <v>7.6335877862595417E-3</v>
      </c>
    </row>
    <row r="816" spans="1:16" x14ac:dyDescent="0.35">
      <c r="A816" s="2" t="s">
        <v>49</v>
      </c>
      <c r="B816" s="2" t="s">
        <v>50</v>
      </c>
      <c r="C816" s="2" t="s">
        <v>36</v>
      </c>
      <c r="D816" s="2" t="s">
        <v>34</v>
      </c>
      <c r="E816" s="2">
        <v>168</v>
      </c>
      <c r="F816" s="2">
        <v>229</v>
      </c>
      <c r="G816" s="2">
        <v>164</v>
      </c>
      <c r="H816" s="2">
        <v>1</v>
      </c>
      <c r="I816" s="2">
        <v>0</v>
      </c>
      <c r="J816" s="2">
        <f>ABS(F816-E816)</f>
        <v>61</v>
      </c>
      <c r="K816" s="29">
        <f>J816/E816</f>
        <v>0.36309523809523808</v>
      </c>
      <c r="L816" s="2">
        <f>ABS(G816-E816)</f>
        <v>4</v>
      </c>
      <c r="M816" s="50">
        <f>(L816/E816)</f>
        <v>2.3809523809523808E-2</v>
      </c>
      <c r="N816" s="2">
        <v>181</v>
      </c>
      <c r="O816" s="11">
        <f t="shared" si="24"/>
        <v>13</v>
      </c>
      <c r="P816" s="29">
        <f t="shared" si="25"/>
        <v>7.7380952380952384E-2</v>
      </c>
    </row>
    <row r="817" spans="1:16" x14ac:dyDescent="0.35">
      <c r="A817" s="2" t="s">
        <v>49</v>
      </c>
      <c r="B817" s="2" t="s">
        <v>50</v>
      </c>
      <c r="C817" s="2" t="s">
        <v>36</v>
      </c>
      <c r="D817" s="2" t="s">
        <v>35</v>
      </c>
      <c r="E817" s="2">
        <v>99</v>
      </c>
      <c r="F817" s="2">
        <v>129</v>
      </c>
      <c r="G817" s="2">
        <v>93</v>
      </c>
      <c r="H817" s="2">
        <v>0</v>
      </c>
      <c r="I817" s="2">
        <v>1</v>
      </c>
      <c r="J817" s="2">
        <f>ABS(F817-E817)</f>
        <v>30</v>
      </c>
      <c r="K817" s="29">
        <f>J817/E817</f>
        <v>0.30303030303030304</v>
      </c>
      <c r="L817" s="2">
        <f>ABS(G817-E817)</f>
        <v>6</v>
      </c>
      <c r="M817" s="50">
        <f>(L817/E817)</f>
        <v>6.0606060606060608E-2</v>
      </c>
      <c r="N817" s="2">
        <v>122</v>
      </c>
      <c r="O817" s="11">
        <f t="shared" si="24"/>
        <v>23</v>
      </c>
      <c r="P817" s="29">
        <f t="shared" si="25"/>
        <v>0.23232323232323232</v>
      </c>
    </row>
    <row r="818" spans="1:16" x14ac:dyDescent="0.35">
      <c r="A818" s="2" t="s">
        <v>49</v>
      </c>
      <c r="B818" s="2" t="s">
        <v>50</v>
      </c>
      <c r="C818" s="2" t="s">
        <v>37</v>
      </c>
      <c r="D818" s="2" t="s">
        <v>12</v>
      </c>
      <c r="E818" s="2">
        <v>173</v>
      </c>
      <c r="F818" s="2">
        <v>180</v>
      </c>
      <c r="G818" s="2">
        <v>167</v>
      </c>
      <c r="H818" s="2">
        <v>0</v>
      </c>
      <c r="I818" s="2">
        <v>0</v>
      </c>
      <c r="J818" s="2">
        <f>ABS(F818-E818)</f>
        <v>7</v>
      </c>
      <c r="K818" s="29">
        <f>J818/E818</f>
        <v>4.046242774566474E-2</v>
      </c>
      <c r="L818" s="2">
        <f>ABS(G818-E818)</f>
        <v>6</v>
      </c>
      <c r="M818" s="50">
        <f>(L818/E818)</f>
        <v>3.4682080924855488E-2</v>
      </c>
      <c r="N818" s="2">
        <v>165</v>
      </c>
      <c r="O818" s="11">
        <f t="shared" si="24"/>
        <v>8</v>
      </c>
      <c r="P818" s="29">
        <f t="shared" si="25"/>
        <v>4.6242774566473986E-2</v>
      </c>
    </row>
    <row r="819" spans="1:16" x14ac:dyDescent="0.35">
      <c r="A819" s="2" t="s">
        <v>49</v>
      </c>
      <c r="B819" s="2" t="s">
        <v>50</v>
      </c>
      <c r="C819" s="2" t="s">
        <v>37</v>
      </c>
      <c r="D819" s="2" t="s">
        <v>13</v>
      </c>
      <c r="E819" s="2">
        <v>194</v>
      </c>
      <c r="F819" s="2">
        <v>221</v>
      </c>
      <c r="G819" s="2">
        <v>191</v>
      </c>
      <c r="H819" s="2">
        <v>0</v>
      </c>
      <c r="I819" s="2">
        <v>0</v>
      </c>
      <c r="J819" s="2">
        <f>ABS(F819-E819)</f>
        <v>27</v>
      </c>
      <c r="K819" s="29">
        <f>J819/E819</f>
        <v>0.13917525773195877</v>
      </c>
      <c r="L819" s="2">
        <f>ABS(G819-E819)</f>
        <v>3</v>
      </c>
      <c r="M819" s="50">
        <f>(L819/E819)</f>
        <v>1.5463917525773196E-2</v>
      </c>
      <c r="N819" s="2">
        <v>192</v>
      </c>
      <c r="O819" s="11">
        <f t="shared" si="24"/>
        <v>2</v>
      </c>
      <c r="P819" s="29">
        <f t="shared" si="25"/>
        <v>1.0309278350515464E-2</v>
      </c>
    </row>
    <row r="820" spans="1:16" x14ac:dyDescent="0.35">
      <c r="A820" s="2" t="s">
        <v>49</v>
      </c>
      <c r="B820" s="2" t="s">
        <v>50</v>
      </c>
      <c r="C820" s="2" t="s">
        <v>37</v>
      </c>
      <c r="D820" s="2" t="s">
        <v>14</v>
      </c>
      <c r="E820" s="2">
        <v>191</v>
      </c>
      <c r="F820" s="2">
        <v>229</v>
      </c>
      <c r="G820" s="2">
        <v>201</v>
      </c>
      <c r="H820" s="2">
        <v>1</v>
      </c>
      <c r="I820" s="2">
        <v>0</v>
      </c>
      <c r="J820" s="2">
        <f>ABS(F820-E820)</f>
        <v>38</v>
      </c>
      <c r="K820" s="29">
        <f>J820/E820</f>
        <v>0.19895287958115182</v>
      </c>
      <c r="L820" s="2">
        <f>ABS(G820-E820)</f>
        <v>10</v>
      </c>
      <c r="M820" s="50">
        <f>(L820/E820)</f>
        <v>5.2356020942408377E-2</v>
      </c>
      <c r="N820" s="2">
        <v>198</v>
      </c>
      <c r="O820" s="11">
        <f t="shared" si="24"/>
        <v>7</v>
      </c>
      <c r="P820" s="29">
        <f t="shared" si="25"/>
        <v>3.6649214659685861E-2</v>
      </c>
    </row>
    <row r="821" spans="1:16" x14ac:dyDescent="0.35">
      <c r="A821" s="2" t="s">
        <v>49</v>
      </c>
      <c r="B821" s="2" t="s">
        <v>50</v>
      </c>
      <c r="C821" s="2" t="s">
        <v>37</v>
      </c>
      <c r="D821" s="2" t="s">
        <v>15</v>
      </c>
      <c r="E821" s="2">
        <v>186</v>
      </c>
      <c r="F821" s="2">
        <v>258</v>
      </c>
      <c r="G821" s="2">
        <v>174</v>
      </c>
      <c r="H821" s="2">
        <v>1</v>
      </c>
      <c r="I821" s="2">
        <v>0</v>
      </c>
      <c r="J821" s="2">
        <f>ABS(F821-E821)</f>
        <v>72</v>
      </c>
      <c r="K821" s="29">
        <f>J821/E821</f>
        <v>0.38709677419354838</v>
      </c>
      <c r="L821" s="2">
        <f>ABS(G821-E821)</f>
        <v>12</v>
      </c>
      <c r="M821" s="50">
        <f>(L821/E821)</f>
        <v>6.4516129032258063E-2</v>
      </c>
      <c r="N821" s="2">
        <v>209</v>
      </c>
      <c r="O821" s="11">
        <f t="shared" si="24"/>
        <v>23</v>
      </c>
      <c r="P821" s="29">
        <f t="shared" si="25"/>
        <v>0.12365591397849462</v>
      </c>
    </row>
    <row r="822" spans="1:16" x14ac:dyDescent="0.35">
      <c r="A822" s="2" t="s">
        <v>49</v>
      </c>
      <c r="B822" s="2" t="s">
        <v>50</v>
      </c>
      <c r="C822" s="2" t="s">
        <v>37</v>
      </c>
      <c r="D822" s="2" t="s">
        <v>16</v>
      </c>
      <c r="E822" s="2">
        <v>196</v>
      </c>
      <c r="F822" s="2">
        <v>226</v>
      </c>
      <c r="G822" s="2">
        <v>186</v>
      </c>
      <c r="H822" s="2">
        <v>0</v>
      </c>
      <c r="I822" s="2">
        <v>0</v>
      </c>
      <c r="J822" s="2">
        <f>ABS(F822-E822)</f>
        <v>30</v>
      </c>
      <c r="K822" s="29">
        <f>J822/E822</f>
        <v>0.15306122448979592</v>
      </c>
      <c r="L822" s="2">
        <f>ABS(G822-E822)</f>
        <v>10</v>
      </c>
      <c r="M822" s="50">
        <f>(L822/E822)</f>
        <v>5.1020408163265307E-2</v>
      </c>
      <c r="N822" s="2">
        <v>183</v>
      </c>
      <c r="O822" s="11">
        <f t="shared" si="24"/>
        <v>13</v>
      </c>
      <c r="P822" s="29">
        <f t="shared" si="25"/>
        <v>6.6326530612244902E-2</v>
      </c>
    </row>
    <row r="823" spans="1:16" x14ac:dyDescent="0.35">
      <c r="A823" s="2" t="s">
        <v>49</v>
      </c>
      <c r="B823" s="2" t="s">
        <v>50</v>
      </c>
      <c r="C823" s="2" t="s">
        <v>37</v>
      </c>
      <c r="D823" s="2" t="s">
        <v>17</v>
      </c>
      <c r="E823" s="2">
        <v>186</v>
      </c>
      <c r="F823" s="2">
        <v>242</v>
      </c>
      <c r="G823" s="2">
        <v>181</v>
      </c>
      <c r="H823" s="2">
        <v>0</v>
      </c>
      <c r="I823" s="2">
        <v>0</v>
      </c>
      <c r="J823" s="2">
        <f>ABS(F823-E823)</f>
        <v>56</v>
      </c>
      <c r="K823" s="29">
        <f>J823/E823</f>
        <v>0.30107526881720431</v>
      </c>
      <c r="L823" s="2">
        <f>ABS(G823-E823)</f>
        <v>5</v>
      </c>
      <c r="M823" s="50">
        <f>(L823/E823)</f>
        <v>2.6881720430107527E-2</v>
      </c>
      <c r="N823" s="2">
        <v>189</v>
      </c>
      <c r="O823" s="11">
        <f t="shared" si="24"/>
        <v>3</v>
      </c>
      <c r="P823" s="29">
        <f t="shared" si="25"/>
        <v>1.6129032258064516E-2</v>
      </c>
    </row>
    <row r="824" spans="1:16" x14ac:dyDescent="0.35">
      <c r="A824" s="2" t="s">
        <v>49</v>
      </c>
      <c r="B824" s="2" t="s">
        <v>50</v>
      </c>
      <c r="C824" s="2" t="s">
        <v>37</v>
      </c>
      <c r="D824" s="2" t="s">
        <v>18</v>
      </c>
      <c r="E824" s="2">
        <v>156</v>
      </c>
      <c r="F824" s="2">
        <v>199</v>
      </c>
      <c r="G824" s="2">
        <v>156</v>
      </c>
      <c r="H824" s="2">
        <v>0</v>
      </c>
      <c r="I824" s="2">
        <v>0</v>
      </c>
      <c r="J824" s="2">
        <f>ABS(F824-E824)</f>
        <v>43</v>
      </c>
      <c r="K824" s="29">
        <f>J824/E824</f>
        <v>0.27564102564102566</v>
      </c>
      <c r="L824" s="2">
        <f>ABS(G824-E824)</f>
        <v>0</v>
      </c>
      <c r="M824" s="50">
        <f>(L824/E824)</f>
        <v>0</v>
      </c>
      <c r="N824" s="2">
        <v>160</v>
      </c>
      <c r="O824" s="11">
        <f t="shared" si="24"/>
        <v>4</v>
      </c>
      <c r="P824" s="29">
        <f t="shared" si="25"/>
        <v>2.564102564102564E-2</v>
      </c>
    </row>
    <row r="825" spans="1:16" x14ac:dyDescent="0.35">
      <c r="A825" s="2" t="s">
        <v>49</v>
      </c>
      <c r="B825" s="2" t="s">
        <v>50</v>
      </c>
      <c r="C825" s="2" t="s">
        <v>37</v>
      </c>
      <c r="D825" s="2" t="s">
        <v>19</v>
      </c>
      <c r="E825" s="2">
        <v>156</v>
      </c>
      <c r="F825" s="2">
        <v>176</v>
      </c>
      <c r="G825" s="2">
        <v>174</v>
      </c>
      <c r="H825" s="2">
        <v>1</v>
      </c>
      <c r="I825" s="2">
        <v>0</v>
      </c>
      <c r="J825" s="2">
        <f>ABS(F825-E825)</f>
        <v>20</v>
      </c>
      <c r="K825" s="29">
        <f>J825/E825</f>
        <v>0.12820512820512819</v>
      </c>
      <c r="L825" s="2">
        <f>ABS(G825-E825)</f>
        <v>18</v>
      </c>
      <c r="M825" s="50">
        <f>(L825/E825)</f>
        <v>0.11538461538461539</v>
      </c>
      <c r="N825" s="2">
        <v>150</v>
      </c>
      <c r="O825" s="11">
        <f t="shared" si="24"/>
        <v>6</v>
      </c>
      <c r="P825" s="29">
        <f t="shared" si="25"/>
        <v>3.8461538461538464E-2</v>
      </c>
    </row>
    <row r="826" spans="1:16" x14ac:dyDescent="0.35">
      <c r="A826" s="2" t="s">
        <v>49</v>
      </c>
      <c r="B826" s="2" t="s">
        <v>50</v>
      </c>
      <c r="C826" s="2" t="s">
        <v>37</v>
      </c>
      <c r="D826" s="2" t="s">
        <v>20</v>
      </c>
      <c r="E826" s="2">
        <v>145</v>
      </c>
      <c r="F826" s="2">
        <v>190</v>
      </c>
      <c r="G826" s="2">
        <v>156</v>
      </c>
      <c r="H826" s="2">
        <v>0</v>
      </c>
      <c r="I826" s="2">
        <v>0</v>
      </c>
      <c r="J826" s="2">
        <f>ABS(F826-E826)</f>
        <v>45</v>
      </c>
      <c r="K826" s="29">
        <f>J826/E826</f>
        <v>0.31034482758620691</v>
      </c>
      <c r="L826" s="2">
        <f>ABS(G826-E826)</f>
        <v>11</v>
      </c>
      <c r="M826" s="50">
        <f>(L826/E826)</f>
        <v>7.586206896551724E-2</v>
      </c>
      <c r="N826" s="2">
        <v>152</v>
      </c>
      <c r="O826" s="11">
        <f t="shared" si="24"/>
        <v>7</v>
      </c>
      <c r="P826" s="29">
        <f t="shared" si="25"/>
        <v>4.8275862068965517E-2</v>
      </c>
    </row>
    <row r="827" spans="1:16" x14ac:dyDescent="0.35">
      <c r="A827" s="2" t="s">
        <v>49</v>
      </c>
      <c r="B827" s="2" t="s">
        <v>50</v>
      </c>
      <c r="C827" s="2" t="s">
        <v>37</v>
      </c>
      <c r="D827" s="2" t="s">
        <v>21</v>
      </c>
      <c r="E827" s="2">
        <v>98</v>
      </c>
      <c r="F827" s="2">
        <v>119</v>
      </c>
      <c r="G827" s="2">
        <v>99</v>
      </c>
      <c r="H827" s="2">
        <v>0</v>
      </c>
      <c r="I827" s="2">
        <v>0</v>
      </c>
      <c r="J827" s="2">
        <f>ABS(F827-E827)</f>
        <v>21</v>
      </c>
      <c r="K827" s="29">
        <f>J827/E827</f>
        <v>0.21428571428571427</v>
      </c>
      <c r="L827" s="2">
        <f>ABS(G827-E827)</f>
        <v>1</v>
      </c>
      <c r="M827" s="50">
        <f>(L827/E827)</f>
        <v>1.020408163265306E-2</v>
      </c>
      <c r="N827" s="2">
        <v>113</v>
      </c>
      <c r="O827" s="11">
        <f t="shared" si="24"/>
        <v>15</v>
      </c>
      <c r="P827" s="29">
        <f t="shared" si="25"/>
        <v>0.15306122448979592</v>
      </c>
    </row>
    <row r="828" spans="1:16" x14ac:dyDescent="0.35">
      <c r="A828" s="2" t="s">
        <v>49</v>
      </c>
      <c r="B828" s="2" t="s">
        <v>50</v>
      </c>
      <c r="C828" s="2" t="s">
        <v>37</v>
      </c>
      <c r="D828" s="2" t="s">
        <v>22</v>
      </c>
      <c r="E828" s="2">
        <v>150</v>
      </c>
      <c r="F828" s="2">
        <v>179</v>
      </c>
      <c r="G828" s="2">
        <v>158</v>
      </c>
      <c r="H828" s="2">
        <v>1</v>
      </c>
      <c r="I828" s="2">
        <v>0</v>
      </c>
      <c r="J828" s="2">
        <f>ABS(F828-E828)</f>
        <v>29</v>
      </c>
      <c r="K828" s="29">
        <f>J828/E828</f>
        <v>0.19333333333333333</v>
      </c>
      <c r="L828" s="2">
        <f>ABS(G828-E828)</f>
        <v>8</v>
      </c>
      <c r="M828" s="50">
        <f>(L828/E828)</f>
        <v>5.3333333333333337E-2</v>
      </c>
      <c r="N828" s="2">
        <v>153</v>
      </c>
      <c r="O828" s="11">
        <f t="shared" si="24"/>
        <v>3</v>
      </c>
      <c r="P828" s="29">
        <f t="shared" si="25"/>
        <v>0.02</v>
      </c>
    </row>
    <row r="829" spans="1:16" x14ac:dyDescent="0.35">
      <c r="A829" s="2" t="s">
        <v>49</v>
      </c>
      <c r="B829" s="2" t="s">
        <v>50</v>
      </c>
      <c r="C829" s="2" t="s">
        <v>37</v>
      </c>
      <c r="D829" s="2" t="s">
        <v>23</v>
      </c>
      <c r="E829" s="2">
        <v>165</v>
      </c>
      <c r="F829" s="2">
        <v>186</v>
      </c>
      <c r="G829" s="2">
        <v>152</v>
      </c>
      <c r="H829" s="2">
        <v>0</v>
      </c>
      <c r="I829" s="2">
        <v>0</v>
      </c>
      <c r="J829" s="2">
        <f>ABS(F829-E829)</f>
        <v>21</v>
      </c>
      <c r="K829" s="29">
        <f>J829/E829</f>
        <v>0.12727272727272726</v>
      </c>
      <c r="L829" s="2">
        <f>ABS(G829-E829)</f>
        <v>13</v>
      </c>
      <c r="M829" s="50">
        <f>(L829/E829)</f>
        <v>7.8787878787878782E-2</v>
      </c>
      <c r="N829" s="2">
        <v>159</v>
      </c>
      <c r="O829" s="11">
        <f t="shared" si="24"/>
        <v>6</v>
      </c>
      <c r="P829" s="29">
        <f t="shared" si="25"/>
        <v>3.6363636363636362E-2</v>
      </c>
    </row>
    <row r="830" spans="1:16" x14ac:dyDescent="0.35">
      <c r="A830" s="2" t="s">
        <v>49</v>
      </c>
      <c r="B830" s="2" t="s">
        <v>50</v>
      </c>
      <c r="C830" s="2" t="s">
        <v>37</v>
      </c>
      <c r="D830" s="2" t="s">
        <v>24</v>
      </c>
      <c r="E830" s="2">
        <v>187</v>
      </c>
      <c r="F830" s="2">
        <v>221</v>
      </c>
      <c r="G830" s="2">
        <v>194</v>
      </c>
      <c r="H830" s="2">
        <v>1</v>
      </c>
      <c r="I830" s="2">
        <v>0</v>
      </c>
      <c r="J830" s="2">
        <f>ABS(F830-E830)</f>
        <v>34</v>
      </c>
      <c r="K830" s="29">
        <f>J830/E830</f>
        <v>0.18181818181818182</v>
      </c>
      <c r="L830" s="2">
        <f>ABS(G830-E830)</f>
        <v>7</v>
      </c>
      <c r="M830" s="50">
        <f>(L830/E830)</f>
        <v>3.7433155080213901E-2</v>
      </c>
      <c r="N830" s="2">
        <v>188</v>
      </c>
      <c r="O830" s="11">
        <f t="shared" si="24"/>
        <v>1</v>
      </c>
      <c r="P830" s="29">
        <f t="shared" si="25"/>
        <v>5.3475935828877002E-3</v>
      </c>
    </row>
    <row r="831" spans="1:16" x14ac:dyDescent="0.35">
      <c r="A831" s="2" t="s">
        <v>49</v>
      </c>
      <c r="B831" s="2" t="s">
        <v>50</v>
      </c>
      <c r="C831" s="2" t="s">
        <v>37</v>
      </c>
      <c r="D831" s="2" t="s">
        <v>25</v>
      </c>
      <c r="E831" s="2">
        <v>233</v>
      </c>
      <c r="F831" s="2">
        <v>270</v>
      </c>
      <c r="G831" s="2">
        <v>216</v>
      </c>
      <c r="H831" s="2">
        <v>1</v>
      </c>
      <c r="I831" s="2">
        <v>0</v>
      </c>
      <c r="J831" s="2">
        <f>ABS(F831-E831)</f>
        <v>37</v>
      </c>
      <c r="K831" s="29">
        <f>J831/E831</f>
        <v>0.15879828326180256</v>
      </c>
      <c r="L831" s="2">
        <f>ABS(G831-E831)</f>
        <v>17</v>
      </c>
      <c r="M831" s="50">
        <f>(L831/E831)</f>
        <v>7.2961373390557943E-2</v>
      </c>
      <c r="N831" s="2">
        <v>217</v>
      </c>
      <c r="O831" s="11">
        <f t="shared" si="24"/>
        <v>16</v>
      </c>
      <c r="P831" s="29">
        <f t="shared" si="25"/>
        <v>6.8669527896995708E-2</v>
      </c>
    </row>
    <row r="832" spans="1:16" x14ac:dyDescent="0.35">
      <c r="A832" s="2" t="s">
        <v>49</v>
      </c>
      <c r="B832" s="2" t="s">
        <v>50</v>
      </c>
      <c r="C832" s="2" t="s">
        <v>37</v>
      </c>
      <c r="D832" s="2" t="s">
        <v>26</v>
      </c>
      <c r="E832" s="2">
        <v>141</v>
      </c>
      <c r="F832" s="2">
        <v>172</v>
      </c>
      <c r="G832" s="2">
        <v>138</v>
      </c>
      <c r="H832" s="2">
        <v>0</v>
      </c>
      <c r="I832" s="2">
        <v>0</v>
      </c>
      <c r="J832" s="2">
        <f>ABS(F832-E832)</f>
        <v>31</v>
      </c>
      <c r="K832" s="29">
        <f>J832/E832</f>
        <v>0.21985815602836881</v>
      </c>
      <c r="L832" s="2">
        <f>ABS(G832-E832)</f>
        <v>3</v>
      </c>
      <c r="M832" s="50">
        <f>(L832/E832)</f>
        <v>2.1276595744680851E-2</v>
      </c>
      <c r="N832" s="2">
        <v>167</v>
      </c>
      <c r="O832" s="11">
        <f t="shared" si="24"/>
        <v>26</v>
      </c>
      <c r="P832" s="29">
        <f t="shared" si="25"/>
        <v>0.18439716312056736</v>
      </c>
    </row>
    <row r="833" spans="1:16" x14ac:dyDescent="0.35">
      <c r="A833" s="2" t="s">
        <v>49</v>
      </c>
      <c r="B833" s="2" t="s">
        <v>50</v>
      </c>
      <c r="C833" s="2" t="s">
        <v>37</v>
      </c>
      <c r="D833" s="2" t="s">
        <v>27</v>
      </c>
      <c r="E833" s="2">
        <v>162</v>
      </c>
      <c r="F833" s="2">
        <v>197</v>
      </c>
      <c r="G833" s="2">
        <v>167</v>
      </c>
      <c r="H833" s="2">
        <v>0</v>
      </c>
      <c r="I833" s="2">
        <v>0</v>
      </c>
      <c r="J833" s="2">
        <f>ABS(F833-E833)</f>
        <v>35</v>
      </c>
      <c r="K833" s="29">
        <f>J833/E833</f>
        <v>0.21604938271604937</v>
      </c>
      <c r="L833" s="2">
        <f>ABS(G833-E833)</f>
        <v>5</v>
      </c>
      <c r="M833" s="50">
        <f>(L833/E833)</f>
        <v>3.0864197530864196E-2</v>
      </c>
      <c r="N833" s="2">
        <v>169</v>
      </c>
      <c r="O833" s="11">
        <f t="shared" si="24"/>
        <v>7</v>
      </c>
      <c r="P833" s="29">
        <f t="shared" si="25"/>
        <v>4.3209876543209874E-2</v>
      </c>
    </row>
    <row r="834" spans="1:16" x14ac:dyDescent="0.35">
      <c r="A834" s="2" t="s">
        <v>49</v>
      </c>
      <c r="B834" s="2" t="s">
        <v>50</v>
      </c>
      <c r="C834" s="2" t="s">
        <v>37</v>
      </c>
      <c r="D834" s="2" t="s">
        <v>28</v>
      </c>
      <c r="E834" s="2">
        <v>178</v>
      </c>
      <c r="F834" s="2">
        <v>184</v>
      </c>
      <c r="G834" s="2">
        <v>179</v>
      </c>
      <c r="H834" s="2">
        <v>0</v>
      </c>
      <c r="I834" s="2">
        <v>0</v>
      </c>
      <c r="J834" s="2">
        <f>ABS(F834-E834)</f>
        <v>6</v>
      </c>
      <c r="K834" s="29">
        <f>J834/E834</f>
        <v>3.3707865168539325E-2</v>
      </c>
      <c r="L834" s="2">
        <f>ABS(G834-E834)</f>
        <v>1</v>
      </c>
      <c r="M834" s="50">
        <f>(L834/E834)</f>
        <v>5.6179775280898875E-3</v>
      </c>
      <c r="N834" s="2">
        <v>161</v>
      </c>
      <c r="O834" s="11">
        <f t="shared" si="24"/>
        <v>17</v>
      </c>
      <c r="P834" s="29">
        <f t="shared" si="25"/>
        <v>9.5505617977528087E-2</v>
      </c>
    </row>
    <row r="835" spans="1:16" x14ac:dyDescent="0.35">
      <c r="A835" s="2" t="s">
        <v>49</v>
      </c>
      <c r="B835" s="2" t="s">
        <v>50</v>
      </c>
      <c r="C835" s="2" t="s">
        <v>37</v>
      </c>
      <c r="D835" s="2" t="s">
        <v>29</v>
      </c>
      <c r="E835" s="2">
        <v>136</v>
      </c>
      <c r="F835" s="2">
        <v>140</v>
      </c>
      <c r="G835" s="2">
        <v>132</v>
      </c>
      <c r="H835" s="2">
        <v>0</v>
      </c>
      <c r="I835" s="2">
        <v>0</v>
      </c>
      <c r="J835" s="2">
        <f>ABS(F835-E835)</f>
        <v>4</v>
      </c>
      <c r="K835" s="29">
        <f>J835/E835</f>
        <v>2.9411764705882353E-2</v>
      </c>
      <c r="L835" s="2">
        <f>ABS(G835-E835)</f>
        <v>4</v>
      </c>
      <c r="M835" s="50">
        <f>(L835/E835)</f>
        <v>2.9411764705882353E-2</v>
      </c>
      <c r="N835" s="2">
        <v>140</v>
      </c>
      <c r="O835" s="11">
        <f t="shared" ref="O835:O898" si="26">ABS(N835-E835)</f>
        <v>4</v>
      </c>
      <c r="P835" s="29">
        <f t="shared" ref="P835:P898" si="27">O835/E835</f>
        <v>2.9411764705882353E-2</v>
      </c>
    </row>
    <row r="836" spans="1:16" x14ac:dyDescent="0.35">
      <c r="A836" s="2" t="s">
        <v>49</v>
      </c>
      <c r="B836" s="2" t="s">
        <v>50</v>
      </c>
      <c r="C836" s="2" t="s">
        <v>37</v>
      </c>
      <c r="D836" s="2" t="s">
        <v>30</v>
      </c>
      <c r="E836" s="2">
        <v>145</v>
      </c>
      <c r="F836" s="2">
        <v>156</v>
      </c>
      <c r="G836" s="2">
        <v>156</v>
      </c>
      <c r="H836" s="2">
        <v>1</v>
      </c>
      <c r="I836" s="2">
        <v>0</v>
      </c>
      <c r="J836" s="2">
        <f>ABS(F836-E836)</f>
        <v>11</v>
      </c>
      <c r="K836" s="29">
        <f>J836/E836</f>
        <v>7.586206896551724E-2</v>
      </c>
      <c r="L836" s="2">
        <f>ABS(G836-E836)</f>
        <v>11</v>
      </c>
      <c r="M836" s="50">
        <f>(L836/E836)</f>
        <v>7.586206896551724E-2</v>
      </c>
      <c r="N836" s="2">
        <v>144</v>
      </c>
      <c r="O836" s="11">
        <f t="shared" si="26"/>
        <v>1</v>
      </c>
      <c r="P836" s="29">
        <f t="shared" si="27"/>
        <v>6.8965517241379309E-3</v>
      </c>
    </row>
    <row r="837" spans="1:16" x14ac:dyDescent="0.35">
      <c r="A837" s="2" t="s">
        <v>49</v>
      </c>
      <c r="B837" s="2" t="s">
        <v>50</v>
      </c>
      <c r="C837" s="2" t="s">
        <v>37</v>
      </c>
      <c r="D837" s="2" t="s">
        <v>31</v>
      </c>
      <c r="E837" s="2">
        <v>139</v>
      </c>
      <c r="F837" s="2">
        <v>157</v>
      </c>
      <c r="G837" s="2">
        <v>137</v>
      </c>
      <c r="H837" s="2">
        <v>0</v>
      </c>
      <c r="I837" s="2">
        <v>0</v>
      </c>
      <c r="J837" s="2">
        <f>ABS(F837-E837)</f>
        <v>18</v>
      </c>
      <c r="K837" s="29">
        <f>J837/E837</f>
        <v>0.12949640287769784</v>
      </c>
      <c r="L837" s="2">
        <f>ABS(G837-E837)</f>
        <v>2</v>
      </c>
      <c r="M837" s="50">
        <f>(L837/E837)</f>
        <v>1.4388489208633094E-2</v>
      </c>
      <c r="N837" s="2">
        <v>140</v>
      </c>
      <c r="O837" s="11">
        <f t="shared" si="26"/>
        <v>1</v>
      </c>
      <c r="P837" s="29">
        <f t="shared" si="27"/>
        <v>7.1942446043165471E-3</v>
      </c>
    </row>
    <row r="838" spans="1:16" x14ac:dyDescent="0.35">
      <c r="A838" s="2" t="s">
        <v>49</v>
      </c>
      <c r="B838" s="2" t="s">
        <v>50</v>
      </c>
      <c r="C838" s="2" t="s">
        <v>37</v>
      </c>
      <c r="D838" s="2" t="s">
        <v>32</v>
      </c>
      <c r="E838" s="2">
        <v>137</v>
      </c>
      <c r="F838" s="2">
        <v>138</v>
      </c>
      <c r="G838" s="2">
        <v>138</v>
      </c>
      <c r="H838" s="2">
        <v>1</v>
      </c>
      <c r="I838" s="2">
        <v>0</v>
      </c>
      <c r="J838" s="2">
        <f>ABS(F838-E838)</f>
        <v>1</v>
      </c>
      <c r="K838" s="29">
        <f>J838/E838</f>
        <v>7.2992700729927005E-3</v>
      </c>
      <c r="L838" s="2">
        <f>ABS(G838-E838)</f>
        <v>1</v>
      </c>
      <c r="M838" s="50">
        <f>(L838/E838)</f>
        <v>7.2992700729927005E-3</v>
      </c>
      <c r="N838" s="2">
        <v>132</v>
      </c>
      <c r="O838" s="11">
        <f t="shared" si="26"/>
        <v>5</v>
      </c>
      <c r="P838" s="29">
        <f t="shared" si="27"/>
        <v>3.6496350364963501E-2</v>
      </c>
    </row>
    <row r="839" spans="1:16" x14ac:dyDescent="0.35">
      <c r="A839" s="2" t="s">
        <v>49</v>
      </c>
      <c r="B839" s="2" t="s">
        <v>50</v>
      </c>
      <c r="C839" s="2" t="s">
        <v>37</v>
      </c>
      <c r="D839" s="2" t="s">
        <v>33</v>
      </c>
      <c r="E839" s="2">
        <v>129</v>
      </c>
      <c r="F839" s="2">
        <v>186</v>
      </c>
      <c r="G839" s="2">
        <v>129</v>
      </c>
      <c r="H839" s="2">
        <v>0</v>
      </c>
      <c r="I839" s="2">
        <v>0</v>
      </c>
      <c r="J839" s="2">
        <f>ABS(F839-E839)</f>
        <v>57</v>
      </c>
      <c r="K839" s="29">
        <f>J839/E839</f>
        <v>0.44186046511627908</v>
      </c>
      <c r="L839" s="2">
        <f>ABS(G839-E839)</f>
        <v>0</v>
      </c>
      <c r="M839" s="50">
        <f>(L839/E839)</f>
        <v>0</v>
      </c>
      <c r="N839" s="2">
        <v>143</v>
      </c>
      <c r="O839" s="11">
        <f t="shared" si="26"/>
        <v>14</v>
      </c>
      <c r="P839" s="29">
        <f t="shared" si="27"/>
        <v>0.10852713178294573</v>
      </c>
    </row>
    <row r="840" spans="1:16" x14ac:dyDescent="0.35">
      <c r="A840" s="2" t="s">
        <v>49</v>
      </c>
      <c r="B840" s="2" t="s">
        <v>50</v>
      </c>
      <c r="C840" s="2" t="s">
        <v>37</v>
      </c>
      <c r="D840" s="2" t="s">
        <v>34</v>
      </c>
      <c r="E840" s="2">
        <v>142</v>
      </c>
      <c r="F840" s="2">
        <v>138</v>
      </c>
      <c r="G840" s="2">
        <v>144</v>
      </c>
      <c r="H840" s="2">
        <v>0</v>
      </c>
      <c r="I840" s="2">
        <v>0</v>
      </c>
      <c r="J840" s="2">
        <f>ABS(F840-E840)</f>
        <v>4</v>
      </c>
      <c r="K840" s="29">
        <f>J840/E840</f>
        <v>2.8169014084507043E-2</v>
      </c>
      <c r="L840" s="2">
        <f>ABS(G840-E840)</f>
        <v>2</v>
      </c>
      <c r="M840" s="50">
        <f>(L840/E840)</f>
        <v>1.4084507042253521E-2</v>
      </c>
      <c r="N840" s="2">
        <v>135</v>
      </c>
      <c r="O840" s="11">
        <f t="shared" si="26"/>
        <v>7</v>
      </c>
      <c r="P840" s="29">
        <f t="shared" si="27"/>
        <v>4.9295774647887321E-2</v>
      </c>
    </row>
    <row r="841" spans="1:16" x14ac:dyDescent="0.35">
      <c r="A841" s="2" t="s">
        <v>49</v>
      </c>
      <c r="B841" s="2" t="s">
        <v>50</v>
      </c>
      <c r="C841" s="2" t="s">
        <v>37</v>
      </c>
      <c r="D841" s="2" t="s">
        <v>35</v>
      </c>
      <c r="E841" s="2">
        <v>154</v>
      </c>
      <c r="F841" s="2">
        <v>164</v>
      </c>
      <c r="G841" s="2">
        <v>160</v>
      </c>
      <c r="H841" s="2">
        <v>0</v>
      </c>
      <c r="I841" s="2">
        <v>0</v>
      </c>
      <c r="J841" s="2">
        <f>ABS(F841-E841)</f>
        <v>10</v>
      </c>
      <c r="K841" s="29">
        <f>J841/E841</f>
        <v>6.4935064935064929E-2</v>
      </c>
      <c r="L841" s="2">
        <f>ABS(G841-E841)</f>
        <v>6</v>
      </c>
      <c r="M841" s="50">
        <f>(L841/E841)</f>
        <v>3.896103896103896E-2</v>
      </c>
      <c r="N841" s="2">
        <v>149</v>
      </c>
      <c r="O841" s="11">
        <f t="shared" si="26"/>
        <v>5</v>
      </c>
      <c r="P841" s="29">
        <f t="shared" si="27"/>
        <v>3.2467532467532464E-2</v>
      </c>
    </row>
    <row r="842" spans="1:16" x14ac:dyDescent="0.35">
      <c r="A842" s="2" t="s">
        <v>49</v>
      </c>
      <c r="B842" s="2" t="s">
        <v>50</v>
      </c>
      <c r="C842" s="2" t="s">
        <v>38</v>
      </c>
      <c r="D842" s="2" t="s">
        <v>12</v>
      </c>
      <c r="E842" s="2">
        <v>59</v>
      </c>
      <c r="F842" s="2">
        <v>70</v>
      </c>
      <c r="G842" s="2">
        <v>53</v>
      </c>
      <c r="H842" s="2">
        <v>0</v>
      </c>
      <c r="I842" s="2">
        <v>1</v>
      </c>
      <c r="J842" s="2">
        <f>ABS(F842-E842)</f>
        <v>11</v>
      </c>
      <c r="K842" s="29">
        <f>J842/E842</f>
        <v>0.1864406779661017</v>
      </c>
      <c r="L842" s="2">
        <f>ABS(G842-E842)</f>
        <v>6</v>
      </c>
      <c r="M842" s="50">
        <f>(L842/E842)</f>
        <v>0.10169491525423729</v>
      </c>
      <c r="N842" s="2">
        <v>62</v>
      </c>
      <c r="O842" s="11">
        <f t="shared" si="26"/>
        <v>3</v>
      </c>
      <c r="P842" s="29">
        <f t="shared" si="27"/>
        <v>5.0847457627118647E-2</v>
      </c>
    </row>
    <row r="843" spans="1:16" x14ac:dyDescent="0.35">
      <c r="A843" s="2" t="s">
        <v>49</v>
      </c>
      <c r="B843" s="2" t="s">
        <v>50</v>
      </c>
      <c r="C843" s="2" t="s">
        <v>38</v>
      </c>
      <c r="D843" s="2" t="s">
        <v>13</v>
      </c>
      <c r="E843" s="2">
        <v>143</v>
      </c>
      <c r="F843" s="2">
        <v>170</v>
      </c>
      <c r="G843" s="2">
        <v>152</v>
      </c>
      <c r="H843" s="2">
        <v>0</v>
      </c>
      <c r="I843" s="2">
        <v>0</v>
      </c>
      <c r="J843" s="2">
        <f>ABS(F843-E843)</f>
        <v>27</v>
      </c>
      <c r="K843" s="29">
        <f>J843/E843</f>
        <v>0.1888111888111888</v>
      </c>
      <c r="L843" s="2">
        <f>ABS(G843-E843)</f>
        <v>9</v>
      </c>
      <c r="M843" s="50">
        <f>(L843/E843)</f>
        <v>6.2937062937062943E-2</v>
      </c>
      <c r="N843" s="2">
        <v>140</v>
      </c>
      <c r="O843" s="11">
        <f t="shared" si="26"/>
        <v>3</v>
      </c>
      <c r="P843" s="29">
        <f t="shared" si="27"/>
        <v>2.097902097902098E-2</v>
      </c>
    </row>
    <row r="844" spans="1:16" x14ac:dyDescent="0.35">
      <c r="A844" s="2" t="s">
        <v>49</v>
      </c>
      <c r="B844" s="2" t="s">
        <v>50</v>
      </c>
      <c r="C844" s="2" t="s">
        <v>38</v>
      </c>
      <c r="D844" s="2" t="s">
        <v>14</v>
      </c>
      <c r="E844" s="2">
        <v>151</v>
      </c>
      <c r="F844" s="2">
        <v>172</v>
      </c>
      <c r="G844" s="2">
        <v>149</v>
      </c>
      <c r="H844" s="2">
        <v>0</v>
      </c>
      <c r="I844" s="2">
        <v>0</v>
      </c>
      <c r="J844" s="2">
        <f>ABS(F844-E844)</f>
        <v>21</v>
      </c>
      <c r="K844" s="29">
        <f>J844/E844</f>
        <v>0.13907284768211919</v>
      </c>
      <c r="L844" s="2">
        <f>ABS(G844-E844)</f>
        <v>2</v>
      </c>
      <c r="M844" s="50">
        <f>(L844/E844)</f>
        <v>1.3245033112582781E-2</v>
      </c>
      <c r="N844" s="2">
        <v>150</v>
      </c>
      <c r="O844" s="11">
        <f t="shared" si="26"/>
        <v>1</v>
      </c>
      <c r="P844" s="29">
        <f t="shared" si="27"/>
        <v>6.6225165562913907E-3</v>
      </c>
    </row>
    <row r="845" spans="1:16" x14ac:dyDescent="0.35">
      <c r="A845" s="2" t="s">
        <v>49</v>
      </c>
      <c r="B845" s="2" t="s">
        <v>50</v>
      </c>
      <c r="C845" s="2" t="s">
        <v>38</v>
      </c>
      <c r="D845" s="2" t="s">
        <v>15</v>
      </c>
      <c r="E845" s="2">
        <v>144</v>
      </c>
      <c r="F845" s="2">
        <v>159</v>
      </c>
      <c r="G845" s="2">
        <v>160</v>
      </c>
      <c r="H845" s="2">
        <v>0</v>
      </c>
      <c r="I845" s="2">
        <v>0</v>
      </c>
      <c r="J845" s="2">
        <f>ABS(F845-E845)</f>
        <v>15</v>
      </c>
      <c r="K845" s="29">
        <f>J845/E845</f>
        <v>0.10416666666666667</v>
      </c>
      <c r="L845" s="2">
        <f>ABS(G845-E845)</f>
        <v>16</v>
      </c>
      <c r="M845" s="50">
        <f>(L845/E845)</f>
        <v>0.1111111111111111</v>
      </c>
      <c r="N845" s="2">
        <v>141</v>
      </c>
      <c r="O845" s="11">
        <f t="shared" si="26"/>
        <v>3</v>
      </c>
      <c r="P845" s="29">
        <f t="shared" si="27"/>
        <v>2.0833333333333332E-2</v>
      </c>
    </row>
    <row r="846" spans="1:16" x14ac:dyDescent="0.35">
      <c r="A846" s="2" t="s">
        <v>49</v>
      </c>
      <c r="B846" s="2" t="s">
        <v>50</v>
      </c>
      <c r="C846" s="2" t="s">
        <v>38</v>
      </c>
      <c r="D846" s="2" t="s">
        <v>16</v>
      </c>
      <c r="E846" s="2">
        <v>147</v>
      </c>
      <c r="F846" s="2">
        <v>155</v>
      </c>
      <c r="G846" s="2">
        <v>143</v>
      </c>
      <c r="H846" s="2">
        <v>0</v>
      </c>
      <c r="I846" s="2">
        <v>0</v>
      </c>
      <c r="J846" s="2">
        <f>ABS(F846-E846)</f>
        <v>8</v>
      </c>
      <c r="K846" s="29">
        <f>J846/E846</f>
        <v>5.4421768707482991E-2</v>
      </c>
      <c r="L846" s="2">
        <f>ABS(G846-E846)</f>
        <v>4</v>
      </c>
      <c r="M846" s="50">
        <f>(L846/E846)</f>
        <v>2.7210884353741496E-2</v>
      </c>
      <c r="N846" s="2">
        <v>141</v>
      </c>
      <c r="O846" s="11">
        <f t="shared" si="26"/>
        <v>6</v>
      </c>
      <c r="P846" s="29">
        <f t="shared" si="27"/>
        <v>4.0816326530612242E-2</v>
      </c>
    </row>
    <row r="847" spans="1:16" x14ac:dyDescent="0.35">
      <c r="A847" s="2" t="s">
        <v>49</v>
      </c>
      <c r="B847" s="2" t="s">
        <v>50</v>
      </c>
      <c r="C847" s="2" t="s">
        <v>38</v>
      </c>
      <c r="D847" s="2" t="s">
        <v>17</v>
      </c>
      <c r="E847" s="2">
        <v>130</v>
      </c>
      <c r="F847" s="2">
        <v>118</v>
      </c>
      <c r="G847" s="2">
        <v>134</v>
      </c>
      <c r="H847" s="2">
        <v>0</v>
      </c>
      <c r="I847" s="2">
        <v>0</v>
      </c>
      <c r="J847" s="2">
        <f>ABS(F847-E847)</f>
        <v>12</v>
      </c>
      <c r="K847" s="29">
        <f>J847/E847</f>
        <v>9.2307692307692313E-2</v>
      </c>
      <c r="L847" s="2">
        <f>ABS(G847-E847)</f>
        <v>4</v>
      </c>
      <c r="M847" s="50">
        <f>(L847/E847)</f>
        <v>3.0769230769230771E-2</v>
      </c>
      <c r="N847" s="2">
        <v>122</v>
      </c>
      <c r="O847" s="11">
        <f t="shared" si="26"/>
        <v>8</v>
      </c>
      <c r="P847" s="29">
        <f t="shared" si="27"/>
        <v>6.1538461538461542E-2</v>
      </c>
    </row>
    <row r="848" spans="1:16" x14ac:dyDescent="0.35">
      <c r="A848" s="2" t="s">
        <v>49</v>
      </c>
      <c r="B848" s="2" t="s">
        <v>50</v>
      </c>
      <c r="C848" s="2" t="s">
        <v>38</v>
      </c>
      <c r="D848" s="2" t="s">
        <v>18</v>
      </c>
      <c r="E848" s="2">
        <v>144</v>
      </c>
      <c r="F848" s="2">
        <v>175</v>
      </c>
      <c r="G848" s="2">
        <v>152</v>
      </c>
      <c r="H848" s="2">
        <v>0</v>
      </c>
      <c r="I848" s="2">
        <v>0</v>
      </c>
      <c r="J848" s="2">
        <f>ABS(F848-E848)</f>
        <v>31</v>
      </c>
      <c r="K848" s="29">
        <f>J848/E848</f>
        <v>0.21527777777777779</v>
      </c>
      <c r="L848" s="2">
        <f>ABS(G848-E848)</f>
        <v>8</v>
      </c>
      <c r="M848" s="50">
        <f>(L848/E848)</f>
        <v>5.5555555555555552E-2</v>
      </c>
      <c r="N848" s="2">
        <v>144</v>
      </c>
      <c r="O848" s="11">
        <f t="shared" si="26"/>
        <v>0</v>
      </c>
      <c r="P848" s="29">
        <f t="shared" si="27"/>
        <v>0</v>
      </c>
    </row>
    <row r="849" spans="1:16" x14ac:dyDescent="0.35">
      <c r="A849" s="2" t="s">
        <v>49</v>
      </c>
      <c r="B849" s="2" t="s">
        <v>50</v>
      </c>
      <c r="C849" s="2" t="s">
        <v>38</v>
      </c>
      <c r="D849" s="2" t="s">
        <v>19</v>
      </c>
      <c r="E849" s="2">
        <v>121</v>
      </c>
      <c r="F849" s="2">
        <v>122</v>
      </c>
      <c r="G849" s="2">
        <v>113</v>
      </c>
      <c r="H849" s="2">
        <v>0</v>
      </c>
      <c r="I849" s="2">
        <v>0</v>
      </c>
      <c r="J849" s="2">
        <f>ABS(F849-E849)</f>
        <v>1</v>
      </c>
      <c r="K849" s="29">
        <f>J849/E849</f>
        <v>8.2644628099173556E-3</v>
      </c>
      <c r="L849" s="2">
        <f>ABS(G849-E849)</f>
        <v>8</v>
      </c>
      <c r="M849" s="50">
        <f>(L849/E849)</f>
        <v>6.6115702479338845E-2</v>
      </c>
      <c r="N849" s="2">
        <v>123</v>
      </c>
      <c r="O849" s="11">
        <f t="shared" si="26"/>
        <v>2</v>
      </c>
      <c r="P849" s="29">
        <f t="shared" si="27"/>
        <v>1.6528925619834711E-2</v>
      </c>
    </row>
    <row r="850" spans="1:16" x14ac:dyDescent="0.35">
      <c r="A850" s="2" t="s">
        <v>49</v>
      </c>
      <c r="B850" s="2" t="s">
        <v>50</v>
      </c>
      <c r="C850" s="2" t="s">
        <v>38</v>
      </c>
      <c r="D850" s="2" t="s">
        <v>20</v>
      </c>
      <c r="E850" s="2">
        <v>111</v>
      </c>
      <c r="F850" s="2">
        <v>132</v>
      </c>
      <c r="G850" s="2">
        <v>110</v>
      </c>
      <c r="H850" s="2">
        <v>0</v>
      </c>
      <c r="I850" s="2">
        <v>0</v>
      </c>
      <c r="J850" s="2">
        <f>ABS(F850-E850)</f>
        <v>21</v>
      </c>
      <c r="K850" s="29">
        <f>J850/E850</f>
        <v>0.1891891891891892</v>
      </c>
      <c r="L850" s="2">
        <f>ABS(G850-E850)</f>
        <v>1</v>
      </c>
      <c r="M850" s="50">
        <f>(L850/E850)</f>
        <v>9.0090090090090089E-3</v>
      </c>
      <c r="N850" s="2">
        <v>114</v>
      </c>
      <c r="O850" s="11">
        <f t="shared" si="26"/>
        <v>3</v>
      </c>
      <c r="P850" s="29">
        <f t="shared" si="27"/>
        <v>2.7027027027027029E-2</v>
      </c>
    </row>
    <row r="851" spans="1:16" x14ac:dyDescent="0.35">
      <c r="A851" s="2" t="s">
        <v>49</v>
      </c>
      <c r="B851" s="2" t="s">
        <v>50</v>
      </c>
      <c r="C851" s="2" t="s">
        <v>38</v>
      </c>
      <c r="D851" s="2" t="s">
        <v>21</v>
      </c>
      <c r="E851" s="2">
        <v>116</v>
      </c>
      <c r="F851" s="2">
        <v>113</v>
      </c>
      <c r="G851" s="2">
        <v>111</v>
      </c>
      <c r="H851" s="2">
        <v>0</v>
      </c>
      <c r="I851" s="2">
        <v>0</v>
      </c>
      <c r="J851" s="2">
        <f>ABS(F851-E851)</f>
        <v>3</v>
      </c>
      <c r="K851" s="29">
        <f>J851/E851</f>
        <v>2.5862068965517241E-2</v>
      </c>
      <c r="L851" s="2">
        <f>ABS(G851-E851)</f>
        <v>5</v>
      </c>
      <c r="M851" s="50">
        <f>(L851/E851)</f>
        <v>4.3103448275862072E-2</v>
      </c>
      <c r="N851" s="2">
        <v>116</v>
      </c>
      <c r="O851" s="11">
        <f t="shared" si="26"/>
        <v>0</v>
      </c>
      <c r="P851" s="29">
        <f t="shared" si="27"/>
        <v>0</v>
      </c>
    </row>
    <row r="852" spans="1:16" x14ac:dyDescent="0.35">
      <c r="A852" s="2" t="s">
        <v>49</v>
      </c>
      <c r="B852" s="2" t="s">
        <v>50</v>
      </c>
      <c r="C852" s="2" t="s">
        <v>38</v>
      </c>
      <c r="D852" s="2" t="s">
        <v>22</v>
      </c>
      <c r="E852" s="2">
        <v>102</v>
      </c>
      <c r="F852" s="2">
        <v>117</v>
      </c>
      <c r="G852" s="2">
        <v>94</v>
      </c>
      <c r="H852" s="2">
        <v>1</v>
      </c>
      <c r="I852" s="2">
        <v>0</v>
      </c>
      <c r="J852" s="2">
        <f>ABS(F852-E852)</f>
        <v>15</v>
      </c>
      <c r="K852" s="29">
        <f>J852/E852</f>
        <v>0.14705882352941177</v>
      </c>
      <c r="L852" s="2">
        <f>ABS(G852-E852)</f>
        <v>8</v>
      </c>
      <c r="M852" s="50">
        <f>(L852/E852)</f>
        <v>7.8431372549019607E-2</v>
      </c>
      <c r="N852" s="2">
        <v>112</v>
      </c>
      <c r="O852" s="11">
        <f t="shared" si="26"/>
        <v>10</v>
      </c>
      <c r="P852" s="29">
        <f t="shared" si="27"/>
        <v>9.8039215686274508E-2</v>
      </c>
    </row>
    <row r="853" spans="1:16" x14ac:dyDescent="0.35">
      <c r="A853" s="2" t="s">
        <v>49</v>
      </c>
      <c r="B853" s="2" t="s">
        <v>50</v>
      </c>
      <c r="C853" s="2" t="s">
        <v>38</v>
      </c>
      <c r="D853" s="2" t="s">
        <v>23</v>
      </c>
      <c r="E853" s="2">
        <v>144</v>
      </c>
      <c r="F853" s="2">
        <v>145</v>
      </c>
      <c r="G853" s="2">
        <v>146</v>
      </c>
      <c r="H853" s="2">
        <v>0</v>
      </c>
      <c r="I853" s="2">
        <v>0</v>
      </c>
      <c r="J853" s="2">
        <f>ABS(F853-E853)</f>
        <v>1</v>
      </c>
      <c r="K853" s="29">
        <f>J853/E853</f>
        <v>6.9444444444444441E-3</v>
      </c>
      <c r="L853" s="2">
        <f>ABS(G853-E853)</f>
        <v>2</v>
      </c>
      <c r="M853" s="50">
        <f>(L853/E853)</f>
        <v>1.3888888888888888E-2</v>
      </c>
      <c r="N853" s="2">
        <v>132</v>
      </c>
      <c r="O853" s="11">
        <f t="shared" si="26"/>
        <v>12</v>
      </c>
      <c r="P853" s="29">
        <f t="shared" si="27"/>
        <v>8.3333333333333329E-2</v>
      </c>
    </row>
    <row r="854" spans="1:16" x14ac:dyDescent="0.35">
      <c r="A854" s="2" t="s">
        <v>49</v>
      </c>
      <c r="B854" s="2" t="s">
        <v>50</v>
      </c>
      <c r="C854" s="2" t="s">
        <v>38</v>
      </c>
      <c r="D854" s="2" t="s">
        <v>24</v>
      </c>
      <c r="E854" s="2">
        <v>163</v>
      </c>
      <c r="F854" s="2">
        <v>169</v>
      </c>
      <c r="G854" s="2">
        <v>169</v>
      </c>
      <c r="H854" s="2">
        <v>1</v>
      </c>
      <c r="I854" s="2">
        <v>0</v>
      </c>
      <c r="J854" s="2">
        <f>ABS(F854-E854)</f>
        <v>6</v>
      </c>
      <c r="K854" s="29">
        <f>J854/E854</f>
        <v>3.6809815950920248E-2</v>
      </c>
      <c r="L854" s="2">
        <f>ABS(G854-E854)</f>
        <v>6</v>
      </c>
      <c r="M854" s="50">
        <f>(L854/E854)</f>
        <v>3.6809815950920248E-2</v>
      </c>
      <c r="N854" s="2">
        <v>149</v>
      </c>
      <c r="O854" s="11">
        <f t="shared" si="26"/>
        <v>14</v>
      </c>
      <c r="P854" s="29">
        <f t="shared" si="27"/>
        <v>8.5889570552147243E-2</v>
      </c>
    </row>
    <row r="855" spans="1:16" x14ac:dyDescent="0.35">
      <c r="A855" s="2" t="s">
        <v>49</v>
      </c>
      <c r="B855" s="2" t="s">
        <v>50</v>
      </c>
      <c r="C855" s="2" t="s">
        <v>38</v>
      </c>
      <c r="D855" s="2" t="s">
        <v>25</v>
      </c>
      <c r="E855" s="2">
        <v>145</v>
      </c>
      <c r="F855" s="2">
        <v>168</v>
      </c>
      <c r="G855" s="2">
        <v>131</v>
      </c>
      <c r="H855" s="2">
        <v>0</v>
      </c>
      <c r="I855" s="2">
        <v>0</v>
      </c>
      <c r="J855" s="2">
        <f>ABS(F855-E855)</f>
        <v>23</v>
      </c>
      <c r="K855" s="29">
        <f>J855/E855</f>
        <v>0.15862068965517243</v>
      </c>
      <c r="L855" s="2">
        <f>ABS(G855-E855)</f>
        <v>14</v>
      </c>
      <c r="M855" s="50">
        <f>(L855/E855)</f>
        <v>9.6551724137931033E-2</v>
      </c>
      <c r="N855" s="2">
        <v>151</v>
      </c>
      <c r="O855" s="11">
        <f t="shared" si="26"/>
        <v>6</v>
      </c>
      <c r="P855" s="29">
        <f t="shared" si="27"/>
        <v>4.1379310344827586E-2</v>
      </c>
    </row>
    <row r="856" spans="1:16" x14ac:dyDescent="0.35">
      <c r="A856" s="2" t="s">
        <v>49</v>
      </c>
      <c r="B856" s="2" t="s">
        <v>50</v>
      </c>
      <c r="C856" s="2" t="s">
        <v>38</v>
      </c>
      <c r="D856" s="2" t="s">
        <v>26</v>
      </c>
      <c r="E856" s="2">
        <v>163</v>
      </c>
      <c r="F856" s="2">
        <v>190</v>
      </c>
      <c r="G856" s="2">
        <v>155</v>
      </c>
      <c r="H856" s="2">
        <v>0</v>
      </c>
      <c r="I856" s="2">
        <v>0</v>
      </c>
      <c r="J856" s="2">
        <f>ABS(F856-E856)</f>
        <v>27</v>
      </c>
      <c r="K856" s="29">
        <f>J856/E856</f>
        <v>0.16564417177914109</v>
      </c>
      <c r="L856" s="2">
        <f>ABS(G856-E856)</f>
        <v>8</v>
      </c>
      <c r="M856" s="50">
        <f>(L856/E856)</f>
        <v>4.9079754601226995E-2</v>
      </c>
      <c r="N856" s="2">
        <v>161</v>
      </c>
      <c r="O856" s="11">
        <f t="shared" si="26"/>
        <v>2</v>
      </c>
      <c r="P856" s="29">
        <f t="shared" si="27"/>
        <v>1.2269938650306749E-2</v>
      </c>
    </row>
    <row r="857" spans="1:16" x14ac:dyDescent="0.35">
      <c r="A857" s="2" t="s">
        <v>49</v>
      </c>
      <c r="B857" s="2" t="s">
        <v>50</v>
      </c>
      <c r="C857" s="2" t="s">
        <v>38</v>
      </c>
      <c r="D857" s="2" t="s">
        <v>27</v>
      </c>
      <c r="E857" s="2">
        <v>170</v>
      </c>
      <c r="F857" s="2">
        <v>217</v>
      </c>
      <c r="G857" s="2">
        <v>171</v>
      </c>
      <c r="H857" s="2">
        <v>0</v>
      </c>
      <c r="I857" s="2">
        <v>0</v>
      </c>
      <c r="J857" s="2">
        <f>ABS(F857-E857)</f>
        <v>47</v>
      </c>
      <c r="K857" s="29">
        <f>J857/E857</f>
        <v>0.27647058823529413</v>
      </c>
      <c r="L857" s="2">
        <f>ABS(G857-E857)</f>
        <v>1</v>
      </c>
      <c r="M857" s="50">
        <f>(L857/E857)</f>
        <v>5.8823529411764705E-3</v>
      </c>
      <c r="N857" s="2">
        <v>177</v>
      </c>
      <c r="O857" s="11">
        <f t="shared" si="26"/>
        <v>7</v>
      </c>
      <c r="P857" s="29">
        <f t="shared" si="27"/>
        <v>4.1176470588235294E-2</v>
      </c>
    </row>
    <row r="858" spans="1:16" x14ac:dyDescent="0.35">
      <c r="A858" s="2" t="s">
        <v>49</v>
      </c>
      <c r="B858" s="2" t="s">
        <v>50</v>
      </c>
      <c r="C858" s="2" t="s">
        <v>38</v>
      </c>
      <c r="D858" s="2" t="s">
        <v>28</v>
      </c>
      <c r="E858" s="2">
        <v>142</v>
      </c>
      <c r="F858" s="2">
        <v>182</v>
      </c>
      <c r="G858" s="2">
        <v>149</v>
      </c>
      <c r="H858" s="2">
        <v>0</v>
      </c>
      <c r="I858" s="2">
        <v>0</v>
      </c>
      <c r="J858" s="2">
        <f>ABS(F858-E858)</f>
        <v>40</v>
      </c>
      <c r="K858" s="29">
        <f>J858/E858</f>
        <v>0.28169014084507044</v>
      </c>
      <c r="L858" s="2">
        <f>ABS(G858-E858)</f>
        <v>7</v>
      </c>
      <c r="M858" s="50">
        <f>(L858/E858)</f>
        <v>4.9295774647887321E-2</v>
      </c>
      <c r="N858" s="2">
        <v>152</v>
      </c>
      <c r="O858" s="11">
        <f t="shared" si="26"/>
        <v>10</v>
      </c>
      <c r="P858" s="29">
        <f t="shared" si="27"/>
        <v>7.0422535211267609E-2</v>
      </c>
    </row>
    <row r="859" spans="1:16" x14ac:dyDescent="0.35">
      <c r="A859" s="2" t="s">
        <v>49</v>
      </c>
      <c r="B859" s="2" t="s">
        <v>50</v>
      </c>
      <c r="C859" s="2" t="s">
        <v>38</v>
      </c>
      <c r="D859" s="2" t="s">
        <v>29</v>
      </c>
      <c r="E859" s="2">
        <v>144</v>
      </c>
      <c r="F859" s="2">
        <v>153</v>
      </c>
      <c r="G859" s="2">
        <v>148</v>
      </c>
      <c r="H859" s="2">
        <v>1</v>
      </c>
      <c r="I859" s="2">
        <v>0</v>
      </c>
      <c r="J859" s="2">
        <f>ABS(F859-E859)</f>
        <v>9</v>
      </c>
      <c r="K859" s="29">
        <f>J859/E859</f>
        <v>6.25E-2</v>
      </c>
      <c r="L859" s="2">
        <f>ABS(G859-E859)</f>
        <v>4</v>
      </c>
      <c r="M859" s="50">
        <f>(L859/E859)</f>
        <v>2.7777777777777776E-2</v>
      </c>
      <c r="N859" s="2">
        <v>141</v>
      </c>
      <c r="O859" s="11">
        <f t="shared" si="26"/>
        <v>3</v>
      </c>
      <c r="P859" s="29">
        <f t="shared" si="27"/>
        <v>2.0833333333333332E-2</v>
      </c>
    </row>
    <row r="860" spans="1:16" x14ac:dyDescent="0.35">
      <c r="A860" s="2" t="s">
        <v>49</v>
      </c>
      <c r="B860" s="2" t="s">
        <v>50</v>
      </c>
      <c r="C860" s="2" t="s">
        <v>38</v>
      </c>
      <c r="D860" s="2" t="s">
        <v>30</v>
      </c>
      <c r="E860" s="2">
        <v>99</v>
      </c>
      <c r="F860" s="2">
        <v>107</v>
      </c>
      <c r="G860" s="2">
        <v>101</v>
      </c>
      <c r="H860" s="2">
        <v>0</v>
      </c>
      <c r="I860" s="2">
        <v>0</v>
      </c>
      <c r="J860" s="2">
        <f>ABS(F860-E860)</f>
        <v>8</v>
      </c>
      <c r="K860" s="29">
        <f>J860/E860</f>
        <v>8.0808080808080815E-2</v>
      </c>
      <c r="L860" s="2">
        <f>ABS(G860-E860)</f>
        <v>2</v>
      </c>
      <c r="M860" s="50">
        <f>(L860/E860)</f>
        <v>2.0202020202020204E-2</v>
      </c>
      <c r="N860" s="2">
        <v>103</v>
      </c>
      <c r="O860" s="11">
        <f t="shared" si="26"/>
        <v>4</v>
      </c>
      <c r="P860" s="29">
        <f t="shared" si="27"/>
        <v>4.0404040404040407E-2</v>
      </c>
    </row>
    <row r="861" spans="1:16" x14ac:dyDescent="0.35">
      <c r="A861" s="2" t="s">
        <v>49</v>
      </c>
      <c r="B861" s="2" t="s">
        <v>50</v>
      </c>
      <c r="C861" s="2" t="s">
        <v>38</v>
      </c>
      <c r="D861" s="2" t="s">
        <v>31</v>
      </c>
      <c r="E861" s="2">
        <v>101</v>
      </c>
      <c r="F861" s="2">
        <v>110</v>
      </c>
      <c r="G861" s="2">
        <v>107</v>
      </c>
      <c r="H861" s="2">
        <v>1</v>
      </c>
      <c r="I861" s="2">
        <v>0</v>
      </c>
      <c r="J861" s="2">
        <f>ABS(F861-E861)</f>
        <v>9</v>
      </c>
      <c r="K861" s="29">
        <f>J861/E861</f>
        <v>8.9108910891089105E-2</v>
      </c>
      <c r="L861" s="2">
        <f>ABS(G861-E861)</f>
        <v>6</v>
      </c>
      <c r="M861" s="50">
        <f>(L861/E861)</f>
        <v>5.9405940594059403E-2</v>
      </c>
      <c r="N861" s="2">
        <v>108</v>
      </c>
      <c r="O861" s="11">
        <f t="shared" si="26"/>
        <v>7</v>
      </c>
      <c r="P861" s="29">
        <f t="shared" si="27"/>
        <v>6.9306930693069313E-2</v>
      </c>
    </row>
    <row r="862" spans="1:16" x14ac:dyDescent="0.35">
      <c r="A862" s="2" t="s">
        <v>49</v>
      </c>
      <c r="B862" s="2" t="s">
        <v>50</v>
      </c>
      <c r="C862" s="2" t="s">
        <v>38</v>
      </c>
      <c r="D862" s="2" t="s">
        <v>32</v>
      </c>
      <c r="E862" s="2">
        <v>112</v>
      </c>
      <c r="F862" s="2">
        <v>135</v>
      </c>
      <c r="G862" s="2">
        <v>110</v>
      </c>
      <c r="H862" s="2">
        <v>0</v>
      </c>
      <c r="I862" s="2">
        <v>0</v>
      </c>
      <c r="J862" s="2">
        <f>ABS(F862-E862)</f>
        <v>23</v>
      </c>
      <c r="K862" s="29">
        <f>J862/E862</f>
        <v>0.20535714285714285</v>
      </c>
      <c r="L862" s="2">
        <f>ABS(G862-E862)</f>
        <v>2</v>
      </c>
      <c r="M862" s="50">
        <f>(L862/E862)</f>
        <v>1.7857142857142856E-2</v>
      </c>
      <c r="N862" s="2">
        <v>118</v>
      </c>
      <c r="O862" s="11">
        <f t="shared" si="26"/>
        <v>6</v>
      </c>
      <c r="P862" s="29">
        <f t="shared" si="27"/>
        <v>5.3571428571428568E-2</v>
      </c>
    </row>
    <row r="863" spans="1:16" x14ac:dyDescent="0.35">
      <c r="A863" s="2" t="s">
        <v>49</v>
      </c>
      <c r="B863" s="2" t="s">
        <v>50</v>
      </c>
      <c r="C863" s="2" t="s">
        <v>38</v>
      </c>
      <c r="D863" s="2" t="s">
        <v>33</v>
      </c>
      <c r="E863" s="2">
        <v>117</v>
      </c>
      <c r="F863" s="2">
        <v>136</v>
      </c>
      <c r="G863" s="2">
        <v>117</v>
      </c>
      <c r="H863" s="2">
        <v>0</v>
      </c>
      <c r="I863" s="2">
        <v>0</v>
      </c>
      <c r="J863" s="2">
        <f>ABS(F863-E863)</f>
        <v>19</v>
      </c>
      <c r="K863" s="29">
        <f>J863/E863</f>
        <v>0.1623931623931624</v>
      </c>
      <c r="L863" s="2">
        <f>ABS(G863-E863)</f>
        <v>0</v>
      </c>
      <c r="M863" s="50">
        <f>(L863/E863)</f>
        <v>0</v>
      </c>
      <c r="N863" s="2">
        <v>114</v>
      </c>
      <c r="O863" s="11">
        <f t="shared" si="26"/>
        <v>3</v>
      </c>
      <c r="P863" s="29">
        <f t="shared" si="27"/>
        <v>2.564102564102564E-2</v>
      </c>
    </row>
    <row r="864" spans="1:16" x14ac:dyDescent="0.35">
      <c r="A864" s="2" t="s">
        <v>49</v>
      </c>
      <c r="B864" s="2" t="s">
        <v>50</v>
      </c>
      <c r="C864" s="2" t="s">
        <v>38</v>
      </c>
      <c r="D864" s="2" t="s">
        <v>34</v>
      </c>
      <c r="E864" s="2">
        <v>110</v>
      </c>
      <c r="F864" s="2">
        <v>128</v>
      </c>
      <c r="G864" s="2">
        <v>116</v>
      </c>
      <c r="H864" s="2">
        <v>0</v>
      </c>
      <c r="I864" s="2">
        <v>0</v>
      </c>
      <c r="J864" s="2">
        <f>ABS(F864-E864)</f>
        <v>18</v>
      </c>
      <c r="K864" s="29">
        <f>J864/E864</f>
        <v>0.16363636363636364</v>
      </c>
      <c r="L864" s="2">
        <f>ABS(G864-E864)</f>
        <v>6</v>
      </c>
      <c r="M864" s="50">
        <f>(L864/E864)</f>
        <v>5.4545454545454543E-2</v>
      </c>
      <c r="N864" s="2">
        <v>114</v>
      </c>
      <c r="O864" s="11">
        <f t="shared" si="26"/>
        <v>4</v>
      </c>
      <c r="P864" s="29">
        <f t="shared" si="27"/>
        <v>3.6363636363636362E-2</v>
      </c>
    </row>
    <row r="865" spans="1:16" x14ac:dyDescent="0.35">
      <c r="A865" s="2" t="s">
        <v>49</v>
      </c>
      <c r="B865" s="2" t="s">
        <v>50</v>
      </c>
      <c r="C865" s="2" t="s">
        <v>38</v>
      </c>
      <c r="D865" s="2" t="s">
        <v>35</v>
      </c>
      <c r="E865" s="2">
        <v>115</v>
      </c>
      <c r="F865" s="2">
        <v>128</v>
      </c>
      <c r="G865" s="2">
        <v>104</v>
      </c>
      <c r="H865" s="2">
        <v>0</v>
      </c>
      <c r="I865" s="2">
        <v>0</v>
      </c>
      <c r="J865" s="2">
        <f>ABS(F865-E865)</f>
        <v>13</v>
      </c>
      <c r="K865" s="29">
        <f>J865/E865</f>
        <v>0.11304347826086956</v>
      </c>
      <c r="L865" s="2">
        <f>ABS(G865-E865)</f>
        <v>11</v>
      </c>
      <c r="M865" s="50">
        <f>(L865/E865)</f>
        <v>9.5652173913043481E-2</v>
      </c>
      <c r="N865" s="2">
        <v>118</v>
      </c>
      <c r="O865" s="11">
        <f t="shared" si="26"/>
        <v>3</v>
      </c>
      <c r="P865" s="29">
        <f t="shared" si="27"/>
        <v>2.6086956521739129E-2</v>
      </c>
    </row>
    <row r="866" spans="1:16" x14ac:dyDescent="0.35">
      <c r="A866" s="2" t="s">
        <v>51</v>
      </c>
      <c r="B866" s="2" t="s">
        <v>50</v>
      </c>
      <c r="C866" s="2" t="s">
        <v>11</v>
      </c>
      <c r="D866" s="2" t="s">
        <v>12</v>
      </c>
      <c r="E866" s="2">
        <v>85</v>
      </c>
      <c r="F866" s="2">
        <v>92</v>
      </c>
      <c r="G866" s="2">
        <v>85</v>
      </c>
      <c r="H866" s="2">
        <v>0</v>
      </c>
      <c r="I866" s="2">
        <v>0</v>
      </c>
      <c r="J866" s="2">
        <f>ABS(F866-E866)</f>
        <v>7</v>
      </c>
      <c r="K866" s="29">
        <f>J866/E866</f>
        <v>8.2352941176470587E-2</v>
      </c>
      <c r="L866" s="2">
        <f>ABS(G866-E866)</f>
        <v>0</v>
      </c>
      <c r="M866" s="50">
        <f>(L866/E866)</f>
        <v>0</v>
      </c>
      <c r="N866" s="2">
        <v>89</v>
      </c>
      <c r="O866" s="11">
        <f t="shared" si="26"/>
        <v>4</v>
      </c>
      <c r="P866" s="29">
        <f t="shared" si="27"/>
        <v>4.7058823529411764E-2</v>
      </c>
    </row>
    <row r="867" spans="1:16" x14ac:dyDescent="0.35">
      <c r="A867" s="2" t="s">
        <v>51</v>
      </c>
      <c r="B867" s="2" t="s">
        <v>50</v>
      </c>
      <c r="C867" s="2" t="s">
        <v>11</v>
      </c>
      <c r="D867" s="2" t="s">
        <v>13</v>
      </c>
      <c r="E867" s="2">
        <v>82</v>
      </c>
      <c r="F867" s="2">
        <v>76</v>
      </c>
      <c r="G867" s="2">
        <v>82</v>
      </c>
      <c r="H867" s="2">
        <v>1</v>
      </c>
      <c r="I867" s="2">
        <v>0</v>
      </c>
      <c r="J867" s="2">
        <f>ABS(F867-E867)</f>
        <v>6</v>
      </c>
      <c r="K867" s="29">
        <f>J867/E867</f>
        <v>7.3170731707317069E-2</v>
      </c>
      <c r="L867" s="2">
        <f>ABS(G867-E867)</f>
        <v>0</v>
      </c>
      <c r="M867" s="50">
        <f>(L867/E867)</f>
        <v>0</v>
      </c>
      <c r="N867" s="2">
        <v>85</v>
      </c>
      <c r="O867" s="11">
        <f t="shared" si="26"/>
        <v>3</v>
      </c>
      <c r="P867" s="29">
        <f t="shared" si="27"/>
        <v>3.6585365853658534E-2</v>
      </c>
    </row>
    <row r="868" spans="1:16" x14ac:dyDescent="0.35">
      <c r="A868" s="2" t="s">
        <v>51</v>
      </c>
      <c r="B868" s="2" t="s">
        <v>50</v>
      </c>
      <c r="C868" s="2" t="s">
        <v>11</v>
      </c>
      <c r="D868" s="2" t="s">
        <v>14</v>
      </c>
      <c r="E868" s="2">
        <v>97</v>
      </c>
      <c r="F868" s="2">
        <v>94</v>
      </c>
      <c r="G868" s="2">
        <v>94</v>
      </c>
      <c r="H868" s="2">
        <v>0</v>
      </c>
      <c r="I868" s="2">
        <v>0</v>
      </c>
      <c r="J868" s="2">
        <f>ABS(F868-E868)</f>
        <v>3</v>
      </c>
      <c r="K868" s="29">
        <f>J868/E868</f>
        <v>3.0927835051546393E-2</v>
      </c>
      <c r="L868" s="2">
        <f>ABS(G868-E868)</f>
        <v>3</v>
      </c>
      <c r="M868" s="50">
        <f>(L868/E868)</f>
        <v>3.0927835051546393E-2</v>
      </c>
      <c r="N868" s="2">
        <v>96</v>
      </c>
      <c r="O868" s="11">
        <f t="shared" si="26"/>
        <v>1</v>
      </c>
      <c r="P868" s="29">
        <f t="shared" si="27"/>
        <v>1.0309278350515464E-2</v>
      </c>
    </row>
    <row r="869" spans="1:16" x14ac:dyDescent="0.35">
      <c r="A869" s="2" t="s">
        <v>51</v>
      </c>
      <c r="B869" s="2" t="s">
        <v>50</v>
      </c>
      <c r="C869" s="2" t="s">
        <v>11</v>
      </c>
      <c r="D869" s="2" t="s">
        <v>15</v>
      </c>
      <c r="E869" s="2">
        <v>102</v>
      </c>
      <c r="F869" s="2">
        <v>127</v>
      </c>
      <c r="G869" s="2">
        <v>94</v>
      </c>
      <c r="H869" s="2">
        <v>0</v>
      </c>
      <c r="I869" s="2">
        <v>0</v>
      </c>
      <c r="J869" s="2">
        <f>ABS(F869-E869)</f>
        <v>25</v>
      </c>
      <c r="K869" s="29">
        <f>J869/E869</f>
        <v>0.24509803921568626</v>
      </c>
      <c r="L869" s="2">
        <f>ABS(G869-E869)</f>
        <v>8</v>
      </c>
      <c r="M869" s="50">
        <f>(L869/E869)</f>
        <v>7.8431372549019607E-2</v>
      </c>
      <c r="N869" s="2">
        <v>108</v>
      </c>
      <c r="O869" s="11">
        <f t="shared" si="26"/>
        <v>6</v>
      </c>
      <c r="P869" s="29">
        <f t="shared" si="27"/>
        <v>5.8823529411764705E-2</v>
      </c>
    </row>
    <row r="870" spans="1:16" x14ac:dyDescent="0.35">
      <c r="A870" s="2" t="s">
        <v>51</v>
      </c>
      <c r="B870" s="2" t="s">
        <v>50</v>
      </c>
      <c r="C870" s="2" t="s">
        <v>11</v>
      </c>
      <c r="D870" s="2" t="s">
        <v>16</v>
      </c>
      <c r="E870" s="2">
        <v>84</v>
      </c>
      <c r="F870" s="2">
        <v>83</v>
      </c>
      <c r="G870" s="2">
        <v>80</v>
      </c>
      <c r="H870" s="2">
        <v>0</v>
      </c>
      <c r="I870" s="2">
        <v>0</v>
      </c>
      <c r="J870" s="2">
        <f>ABS(F870-E870)</f>
        <v>1</v>
      </c>
      <c r="K870" s="29">
        <f>J870/E870</f>
        <v>1.1904761904761904E-2</v>
      </c>
      <c r="L870" s="2">
        <f>ABS(G870-E870)</f>
        <v>4</v>
      </c>
      <c r="M870" s="50">
        <f>(L870/E870)</f>
        <v>4.7619047619047616E-2</v>
      </c>
      <c r="N870" s="2">
        <v>83</v>
      </c>
      <c r="O870" s="11">
        <f t="shared" si="26"/>
        <v>1</v>
      </c>
      <c r="P870" s="29">
        <f t="shared" si="27"/>
        <v>1.1904761904761904E-2</v>
      </c>
    </row>
    <row r="871" spans="1:16" x14ac:dyDescent="0.35">
      <c r="A871" s="2" t="s">
        <v>51</v>
      </c>
      <c r="B871" s="2" t="s">
        <v>50</v>
      </c>
      <c r="C871" s="2" t="s">
        <v>11</v>
      </c>
      <c r="D871" s="2" t="s">
        <v>17</v>
      </c>
      <c r="E871" s="2">
        <v>39</v>
      </c>
      <c r="F871" s="2">
        <v>46</v>
      </c>
      <c r="G871" s="2">
        <v>40</v>
      </c>
      <c r="H871" s="2">
        <v>1</v>
      </c>
      <c r="I871" s="2">
        <v>1</v>
      </c>
      <c r="J871" s="2">
        <f>ABS(F871-E871)</f>
        <v>7</v>
      </c>
      <c r="K871" s="29">
        <f>J871/E871</f>
        <v>0.17948717948717949</v>
      </c>
      <c r="L871" s="2">
        <f>ABS(G871-E871)</f>
        <v>1</v>
      </c>
      <c r="M871" s="50">
        <f>(L871/E871)</f>
        <v>2.564102564102564E-2</v>
      </c>
      <c r="N871" s="2">
        <v>45</v>
      </c>
      <c r="O871" s="11">
        <f t="shared" si="26"/>
        <v>6</v>
      </c>
      <c r="P871" s="29">
        <f t="shared" si="27"/>
        <v>0.15384615384615385</v>
      </c>
    </row>
    <row r="872" spans="1:16" x14ac:dyDescent="0.35">
      <c r="A872" s="2" t="s">
        <v>51</v>
      </c>
      <c r="B872" s="2" t="s">
        <v>50</v>
      </c>
      <c r="C872" s="2" t="s">
        <v>11</v>
      </c>
      <c r="D872" s="2" t="s">
        <v>18</v>
      </c>
      <c r="E872" s="2">
        <v>65</v>
      </c>
      <c r="F872" s="2">
        <v>48</v>
      </c>
      <c r="G872" s="2">
        <v>62</v>
      </c>
      <c r="H872" s="2">
        <v>0</v>
      </c>
      <c r="I872" s="2">
        <v>0</v>
      </c>
      <c r="J872" s="2">
        <f>ABS(F872-E872)</f>
        <v>17</v>
      </c>
      <c r="K872" s="29">
        <f>J872/E872</f>
        <v>0.26153846153846155</v>
      </c>
      <c r="L872" s="2">
        <f>ABS(G872-E872)</f>
        <v>3</v>
      </c>
      <c r="M872" s="50">
        <f>(L872/E872)</f>
        <v>4.6153846153846156E-2</v>
      </c>
      <c r="N872" s="2">
        <v>58</v>
      </c>
      <c r="O872" s="11">
        <f t="shared" si="26"/>
        <v>7</v>
      </c>
      <c r="P872" s="29">
        <f t="shared" si="27"/>
        <v>0.1076923076923077</v>
      </c>
    </row>
    <row r="873" spans="1:16" x14ac:dyDescent="0.35">
      <c r="A873" s="2" t="s">
        <v>51</v>
      </c>
      <c r="B873" s="2" t="s">
        <v>50</v>
      </c>
      <c r="C873" s="2" t="s">
        <v>11</v>
      </c>
      <c r="D873" s="2" t="s">
        <v>19</v>
      </c>
      <c r="E873" s="2">
        <v>37</v>
      </c>
      <c r="F873" s="2">
        <v>37</v>
      </c>
      <c r="G873" s="2">
        <v>35</v>
      </c>
      <c r="H873" s="2">
        <v>0</v>
      </c>
      <c r="I873" s="2">
        <v>1</v>
      </c>
      <c r="J873" s="2">
        <f>ABS(F873-E873)</f>
        <v>0</v>
      </c>
      <c r="K873" s="29">
        <f>J873/E873</f>
        <v>0</v>
      </c>
      <c r="L873" s="2">
        <f>ABS(G873-E873)</f>
        <v>2</v>
      </c>
      <c r="M873" s="50">
        <f>(L873/E873)</f>
        <v>5.4054054054054057E-2</v>
      </c>
      <c r="N873" s="2">
        <v>35</v>
      </c>
      <c r="O873" s="11">
        <f t="shared" si="26"/>
        <v>2</v>
      </c>
      <c r="P873" s="29">
        <f t="shared" si="27"/>
        <v>5.4054054054054057E-2</v>
      </c>
    </row>
    <row r="874" spans="1:16" x14ac:dyDescent="0.35">
      <c r="A874" s="2" t="s">
        <v>51</v>
      </c>
      <c r="B874" s="2" t="s">
        <v>50</v>
      </c>
      <c r="C874" s="2" t="s">
        <v>11</v>
      </c>
      <c r="D874" s="2" t="s">
        <v>20</v>
      </c>
      <c r="E874" s="2">
        <v>54</v>
      </c>
      <c r="F874" s="2">
        <v>57</v>
      </c>
      <c r="G874" s="2">
        <v>56</v>
      </c>
      <c r="H874" s="2">
        <v>1</v>
      </c>
      <c r="I874" s="2">
        <v>0</v>
      </c>
      <c r="J874" s="2">
        <f>ABS(F874-E874)</f>
        <v>3</v>
      </c>
      <c r="K874" s="29">
        <f>J874/E874</f>
        <v>5.5555555555555552E-2</v>
      </c>
      <c r="L874" s="2">
        <f>ABS(G874-E874)</f>
        <v>2</v>
      </c>
      <c r="M874" s="50">
        <f>(L874/E874)</f>
        <v>3.7037037037037035E-2</v>
      </c>
      <c r="N874" s="2">
        <v>57</v>
      </c>
      <c r="O874" s="11">
        <f t="shared" si="26"/>
        <v>3</v>
      </c>
      <c r="P874" s="29">
        <f t="shared" si="27"/>
        <v>5.5555555555555552E-2</v>
      </c>
    </row>
    <row r="875" spans="1:16" x14ac:dyDescent="0.35">
      <c r="A875" s="2" t="s">
        <v>51</v>
      </c>
      <c r="B875" s="2" t="s">
        <v>50</v>
      </c>
      <c r="C875" s="2" t="s">
        <v>11</v>
      </c>
      <c r="D875" s="2" t="s">
        <v>21</v>
      </c>
      <c r="E875" s="2">
        <v>64</v>
      </c>
      <c r="F875" s="2">
        <v>65</v>
      </c>
      <c r="G875" s="2">
        <v>65</v>
      </c>
      <c r="H875" s="2">
        <v>0</v>
      </c>
      <c r="I875" s="2">
        <v>0</v>
      </c>
      <c r="J875" s="2">
        <f>ABS(F875-E875)</f>
        <v>1</v>
      </c>
      <c r="K875" s="29">
        <f>J875/E875</f>
        <v>1.5625E-2</v>
      </c>
      <c r="L875" s="2">
        <f>ABS(G875-E875)</f>
        <v>1</v>
      </c>
      <c r="M875" s="50">
        <f>(L875/E875)</f>
        <v>1.5625E-2</v>
      </c>
      <c r="N875" s="2">
        <v>59</v>
      </c>
      <c r="O875" s="11">
        <f t="shared" si="26"/>
        <v>5</v>
      </c>
      <c r="P875" s="29">
        <f t="shared" si="27"/>
        <v>7.8125E-2</v>
      </c>
    </row>
    <row r="876" spans="1:16" x14ac:dyDescent="0.35">
      <c r="A876" s="2" t="s">
        <v>51</v>
      </c>
      <c r="B876" s="2" t="s">
        <v>50</v>
      </c>
      <c r="C876" s="2" t="s">
        <v>11</v>
      </c>
      <c r="D876" s="2" t="s">
        <v>22</v>
      </c>
      <c r="E876" s="2">
        <v>77</v>
      </c>
      <c r="F876" s="2">
        <v>80</v>
      </c>
      <c r="G876" s="2">
        <v>73</v>
      </c>
      <c r="H876" s="2">
        <v>0</v>
      </c>
      <c r="I876" s="2">
        <v>0</v>
      </c>
      <c r="J876" s="2">
        <f>ABS(F876-E876)</f>
        <v>3</v>
      </c>
      <c r="K876" s="29">
        <f>J876/E876</f>
        <v>3.896103896103896E-2</v>
      </c>
      <c r="L876" s="2">
        <f>ABS(G876-E876)</f>
        <v>4</v>
      </c>
      <c r="M876" s="50">
        <f>(L876/E876)</f>
        <v>5.1948051948051951E-2</v>
      </c>
      <c r="N876" s="2">
        <v>76</v>
      </c>
      <c r="O876" s="11">
        <f t="shared" si="26"/>
        <v>1</v>
      </c>
      <c r="P876" s="29">
        <f t="shared" si="27"/>
        <v>1.2987012987012988E-2</v>
      </c>
    </row>
    <row r="877" spans="1:16" x14ac:dyDescent="0.35">
      <c r="A877" s="2" t="s">
        <v>51</v>
      </c>
      <c r="B877" s="2" t="s">
        <v>50</v>
      </c>
      <c r="C877" s="2" t="s">
        <v>11</v>
      </c>
      <c r="D877" s="2" t="s">
        <v>23</v>
      </c>
      <c r="E877" s="2">
        <v>83</v>
      </c>
      <c r="F877" s="2">
        <v>93</v>
      </c>
      <c r="G877" s="2">
        <v>82</v>
      </c>
      <c r="H877" s="2">
        <v>0</v>
      </c>
      <c r="I877" s="2">
        <v>0</v>
      </c>
      <c r="J877" s="2">
        <f>ABS(F877-E877)</f>
        <v>10</v>
      </c>
      <c r="K877" s="29">
        <f>J877/E877</f>
        <v>0.12048192771084337</v>
      </c>
      <c r="L877" s="2">
        <f>ABS(G877-E877)</f>
        <v>1</v>
      </c>
      <c r="M877" s="50">
        <f>(L877/E877)</f>
        <v>1.2048192771084338E-2</v>
      </c>
      <c r="N877" s="2">
        <v>84</v>
      </c>
      <c r="O877" s="11">
        <f t="shared" si="26"/>
        <v>1</v>
      </c>
      <c r="P877" s="29">
        <f t="shared" si="27"/>
        <v>1.2048192771084338E-2</v>
      </c>
    </row>
    <row r="878" spans="1:16" x14ac:dyDescent="0.35">
      <c r="A878" s="2" t="s">
        <v>51</v>
      </c>
      <c r="B878" s="2" t="s">
        <v>50</v>
      </c>
      <c r="C878" s="2" t="s">
        <v>11</v>
      </c>
      <c r="D878" s="2" t="s">
        <v>24</v>
      </c>
      <c r="E878" s="2">
        <v>81</v>
      </c>
      <c r="F878" s="2">
        <v>85</v>
      </c>
      <c r="G878" s="2">
        <v>76</v>
      </c>
      <c r="H878" s="2">
        <v>0</v>
      </c>
      <c r="I878" s="2">
        <v>0</v>
      </c>
      <c r="J878" s="2">
        <f>ABS(F878-E878)</f>
        <v>4</v>
      </c>
      <c r="K878" s="29">
        <f>J878/E878</f>
        <v>4.9382716049382713E-2</v>
      </c>
      <c r="L878" s="2">
        <f>ABS(G878-E878)</f>
        <v>5</v>
      </c>
      <c r="M878" s="50">
        <f>(L878/E878)</f>
        <v>6.1728395061728392E-2</v>
      </c>
      <c r="N878" s="2">
        <v>84</v>
      </c>
      <c r="O878" s="11">
        <f t="shared" si="26"/>
        <v>3</v>
      </c>
      <c r="P878" s="29">
        <f t="shared" si="27"/>
        <v>3.7037037037037035E-2</v>
      </c>
    </row>
    <row r="879" spans="1:16" x14ac:dyDescent="0.35">
      <c r="A879" s="2" t="s">
        <v>51</v>
      </c>
      <c r="B879" s="2" t="s">
        <v>50</v>
      </c>
      <c r="C879" s="2" t="s">
        <v>11</v>
      </c>
      <c r="D879" s="2" t="s">
        <v>25</v>
      </c>
      <c r="E879" s="2">
        <v>90</v>
      </c>
      <c r="F879" s="2">
        <v>81</v>
      </c>
      <c r="G879" s="2">
        <v>94</v>
      </c>
      <c r="H879" s="2">
        <v>1</v>
      </c>
      <c r="I879" s="2">
        <v>0</v>
      </c>
      <c r="J879" s="2">
        <f>ABS(F879-E879)</f>
        <v>9</v>
      </c>
      <c r="K879" s="29">
        <f>J879/E879</f>
        <v>0.1</v>
      </c>
      <c r="L879" s="2">
        <f>ABS(G879-E879)</f>
        <v>4</v>
      </c>
      <c r="M879" s="50">
        <f>(L879/E879)</f>
        <v>4.4444444444444446E-2</v>
      </c>
      <c r="N879" s="2">
        <v>88</v>
      </c>
      <c r="O879" s="11">
        <f t="shared" si="26"/>
        <v>2</v>
      </c>
      <c r="P879" s="29">
        <f t="shared" si="27"/>
        <v>2.2222222222222223E-2</v>
      </c>
    </row>
    <row r="880" spans="1:16" x14ac:dyDescent="0.35">
      <c r="A880" s="2" t="s">
        <v>51</v>
      </c>
      <c r="B880" s="2" t="s">
        <v>50</v>
      </c>
      <c r="C880" s="2" t="s">
        <v>11</v>
      </c>
      <c r="D880" s="2" t="s">
        <v>26</v>
      </c>
      <c r="E880" s="2">
        <v>83</v>
      </c>
      <c r="F880" s="2">
        <v>84</v>
      </c>
      <c r="G880" s="2">
        <v>81</v>
      </c>
      <c r="H880" s="2">
        <v>0</v>
      </c>
      <c r="I880" s="2">
        <v>0</v>
      </c>
      <c r="J880" s="2">
        <f>ABS(F880-E880)</f>
        <v>1</v>
      </c>
      <c r="K880" s="29">
        <f>J880/E880</f>
        <v>1.2048192771084338E-2</v>
      </c>
      <c r="L880" s="2">
        <f>ABS(G880-E880)</f>
        <v>2</v>
      </c>
      <c r="M880" s="50">
        <f>(L880/E880)</f>
        <v>2.4096385542168676E-2</v>
      </c>
      <c r="N880" s="2">
        <v>87</v>
      </c>
      <c r="O880" s="11">
        <f t="shared" si="26"/>
        <v>4</v>
      </c>
      <c r="P880" s="29">
        <f t="shared" si="27"/>
        <v>4.8192771084337352E-2</v>
      </c>
    </row>
    <row r="881" spans="1:16" x14ac:dyDescent="0.35">
      <c r="A881" s="2" t="s">
        <v>51</v>
      </c>
      <c r="B881" s="2" t="s">
        <v>50</v>
      </c>
      <c r="C881" s="2" t="s">
        <v>11</v>
      </c>
      <c r="D881" s="2" t="s">
        <v>27</v>
      </c>
      <c r="E881" s="2">
        <v>97</v>
      </c>
      <c r="F881" s="2">
        <v>96</v>
      </c>
      <c r="G881" s="2">
        <v>95</v>
      </c>
      <c r="H881" s="2">
        <v>0</v>
      </c>
      <c r="I881" s="2">
        <v>0</v>
      </c>
      <c r="J881" s="2">
        <f>ABS(F881-E881)</f>
        <v>1</v>
      </c>
      <c r="K881" s="29">
        <f>J881/E881</f>
        <v>1.0309278350515464E-2</v>
      </c>
      <c r="L881" s="2">
        <f>ABS(G881-E881)</f>
        <v>2</v>
      </c>
      <c r="M881" s="50">
        <f>(L881/E881)</f>
        <v>2.0618556701030927E-2</v>
      </c>
      <c r="N881" s="2">
        <v>94</v>
      </c>
      <c r="O881" s="11">
        <f t="shared" si="26"/>
        <v>3</v>
      </c>
      <c r="P881" s="29">
        <f t="shared" si="27"/>
        <v>3.0927835051546393E-2</v>
      </c>
    </row>
    <row r="882" spans="1:16" x14ac:dyDescent="0.35">
      <c r="A882" s="2" t="s">
        <v>51</v>
      </c>
      <c r="B882" s="2" t="s">
        <v>50</v>
      </c>
      <c r="C882" s="2" t="s">
        <v>11</v>
      </c>
      <c r="D882" s="2" t="s">
        <v>28</v>
      </c>
      <c r="E882" s="2">
        <v>105</v>
      </c>
      <c r="F882" s="2">
        <v>87</v>
      </c>
      <c r="G882" s="2">
        <v>111</v>
      </c>
      <c r="H882" s="2">
        <v>0</v>
      </c>
      <c r="I882" s="2">
        <v>0</v>
      </c>
      <c r="J882" s="2">
        <f>ABS(F882-E882)</f>
        <v>18</v>
      </c>
      <c r="K882" s="29">
        <f>J882/E882</f>
        <v>0.17142857142857143</v>
      </c>
      <c r="L882" s="2">
        <f>ABS(G882-E882)</f>
        <v>6</v>
      </c>
      <c r="M882" s="50">
        <f>(L882/E882)</f>
        <v>5.7142857142857141E-2</v>
      </c>
      <c r="N882" s="2">
        <v>90</v>
      </c>
      <c r="O882" s="11">
        <f t="shared" si="26"/>
        <v>15</v>
      </c>
      <c r="P882" s="29">
        <f t="shared" si="27"/>
        <v>0.14285714285714285</v>
      </c>
    </row>
    <row r="883" spans="1:16" x14ac:dyDescent="0.35">
      <c r="A883" s="2" t="s">
        <v>51</v>
      </c>
      <c r="B883" s="2" t="s">
        <v>50</v>
      </c>
      <c r="C883" s="2" t="s">
        <v>11</v>
      </c>
      <c r="D883" s="2" t="s">
        <v>29</v>
      </c>
      <c r="E883" s="2">
        <v>80</v>
      </c>
      <c r="F883" s="2">
        <v>89</v>
      </c>
      <c r="G883" s="2">
        <v>80</v>
      </c>
      <c r="H883" s="2">
        <v>1</v>
      </c>
      <c r="I883" s="2">
        <v>0</v>
      </c>
      <c r="J883" s="2">
        <f>ABS(F883-E883)</f>
        <v>9</v>
      </c>
      <c r="K883" s="29">
        <f>J883/E883</f>
        <v>0.1125</v>
      </c>
      <c r="L883" s="2">
        <f>ABS(G883-E883)</f>
        <v>0</v>
      </c>
      <c r="M883" s="50">
        <f>(L883/E883)</f>
        <v>0</v>
      </c>
      <c r="N883" s="2">
        <v>86</v>
      </c>
      <c r="O883" s="11">
        <f t="shared" si="26"/>
        <v>6</v>
      </c>
      <c r="P883" s="29">
        <f t="shared" si="27"/>
        <v>7.4999999999999997E-2</v>
      </c>
    </row>
    <row r="884" spans="1:16" x14ac:dyDescent="0.35">
      <c r="A884" s="2" t="s">
        <v>51</v>
      </c>
      <c r="B884" s="2" t="s">
        <v>50</v>
      </c>
      <c r="C884" s="2" t="s">
        <v>11</v>
      </c>
      <c r="D884" s="2" t="s">
        <v>30</v>
      </c>
      <c r="E884" s="2">
        <v>65</v>
      </c>
      <c r="F884" s="2">
        <v>76</v>
      </c>
      <c r="G884" s="2">
        <v>64</v>
      </c>
      <c r="H884" s="2">
        <v>0</v>
      </c>
      <c r="I884" s="2">
        <v>0</v>
      </c>
      <c r="J884" s="2">
        <f>ABS(F884-E884)</f>
        <v>11</v>
      </c>
      <c r="K884" s="29">
        <f>J884/E884</f>
        <v>0.16923076923076924</v>
      </c>
      <c r="L884" s="2">
        <f>ABS(G884-E884)</f>
        <v>1</v>
      </c>
      <c r="M884" s="50">
        <f>(L884/E884)</f>
        <v>1.5384615384615385E-2</v>
      </c>
      <c r="N884" s="2">
        <v>73</v>
      </c>
      <c r="O884" s="11">
        <f t="shared" si="26"/>
        <v>8</v>
      </c>
      <c r="P884" s="29">
        <f t="shared" si="27"/>
        <v>0.12307692307692308</v>
      </c>
    </row>
    <row r="885" spans="1:16" x14ac:dyDescent="0.35">
      <c r="A885" s="2" t="s">
        <v>51</v>
      </c>
      <c r="B885" s="2" t="s">
        <v>50</v>
      </c>
      <c r="C885" s="2" t="s">
        <v>11</v>
      </c>
      <c r="D885" s="2" t="s">
        <v>31</v>
      </c>
      <c r="E885" s="2">
        <v>69</v>
      </c>
      <c r="F885" s="2">
        <v>75</v>
      </c>
      <c r="G885" s="2">
        <v>66</v>
      </c>
      <c r="H885" s="2">
        <v>0</v>
      </c>
      <c r="I885" s="2">
        <v>0</v>
      </c>
      <c r="J885" s="2">
        <f>ABS(F885-E885)</f>
        <v>6</v>
      </c>
      <c r="K885" s="29">
        <f>J885/E885</f>
        <v>8.6956521739130432E-2</v>
      </c>
      <c r="L885" s="2">
        <f>ABS(G885-E885)</f>
        <v>3</v>
      </c>
      <c r="M885" s="50">
        <f>(L885/E885)</f>
        <v>4.3478260869565216E-2</v>
      </c>
      <c r="N885" s="2">
        <v>73</v>
      </c>
      <c r="O885" s="11">
        <f t="shared" si="26"/>
        <v>4</v>
      </c>
      <c r="P885" s="29">
        <f t="shared" si="27"/>
        <v>5.7971014492753624E-2</v>
      </c>
    </row>
    <row r="886" spans="1:16" x14ac:dyDescent="0.35">
      <c r="A886" s="2" t="s">
        <v>51</v>
      </c>
      <c r="B886" s="2" t="s">
        <v>50</v>
      </c>
      <c r="C886" s="2" t="s">
        <v>11</v>
      </c>
      <c r="D886" s="2" t="s">
        <v>32</v>
      </c>
      <c r="E886" s="2">
        <v>55</v>
      </c>
      <c r="F886" s="2">
        <v>52</v>
      </c>
      <c r="G886" s="2">
        <v>58</v>
      </c>
      <c r="H886" s="2">
        <v>0</v>
      </c>
      <c r="I886" s="2">
        <v>0</v>
      </c>
      <c r="J886" s="2">
        <f>ABS(F886-E886)</f>
        <v>3</v>
      </c>
      <c r="K886" s="29">
        <f>J886/E886</f>
        <v>5.4545454545454543E-2</v>
      </c>
      <c r="L886" s="2">
        <f>ABS(G886-E886)</f>
        <v>3</v>
      </c>
      <c r="M886" s="50">
        <f>(L886/E886)</f>
        <v>5.4545454545454543E-2</v>
      </c>
      <c r="N886" s="2">
        <v>56</v>
      </c>
      <c r="O886" s="11">
        <f t="shared" si="26"/>
        <v>1</v>
      </c>
      <c r="P886" s="29">
        <f t="shared" si="27"/>
        <v>1.8181818181818181E-2</v>
      </c>
    </row>
    <row r="887" spans="1:16" x14ac:dyDescent="0.35">
      <c r="A887" s="2" t="s">
        <v>51</v>
      </c>
      <c r="B887" s="2" t="s">
        <v>50</v>
      </c>
      <c r="C887" s="2" t="s">
        <v>11</v>
      </c>
      <c r="D887" s="2" t="s">
        <v>33</v>
      </c>
      <c r="E887" s="2">
        <v>73</v>
      </c>
      <c r="F887" s="2">
        <v>72</v>
      </c>
      <c r="G887" s="2">
        <v>77</v>
      </c>
      <c r="H887" s="2">
        <v>1</v>
      </c>
      <c r="I887" s="2">
        <v>0</v>
      </c>
      <c r="J887" s="2">
        <f>ABS(F887-E887)</f>
        <v>1</v>
      </c>
      <c r="K887" s="29">
        <f>J887/E887</f>
        <v>1.3698630136986301E-2</v>
      </c>
      <c r="L887" s="2">
        <f>ABS(G887-E887)</f>
        <v>4</v>
      </c>
      <c r="M887" s="50">
        <f>(L887/E887)</f>
        <v>5.4794520547945202E-2</v>
      </c>
      <c r="N887" s="2">
        <v>69</v>
      </c>
      <c r="O887" s="11">
        <f t="shared" si="26"/>
        <v>4</v>
      </c>
      <c r="P887" s="29">
        <f t="shared" si="27"/>
        <v>5.4794520547945202E-2</v>
      </c>
    </row>
    <row r="888" spans="1:16" x14ac:dyDescent="0.35">
      <c r="A888" s="2" t="s">
        <v>51</v>
      </c>
      <c r="B888" s="2" t="s">
        <v>50</v>
      </c>
      <c r="C888" s="2" t="s">
        <v>11</v>
      </c>
      <c r="D888" s="2" t="s">
        <v>34</v>
      </c>
      <c r="E888" s="2">
        <v>82</v>
      </c>
      <c r="F888" s="2">
        <v>77</v>
      </c>
      <c r="G888" s="2">
        <v>88</v>
      </c>
      <c r="H888" s="2">
        <v>1</v>
      </c>
      <c r="I888" s="2">
        <v>0</v>
      </c>
      <c r="J888" s="2">
        <f>ABS(F888-E888)</f>
        <v>5</v>
      </c>
      <c r="K888" s="29">
        <f>J888/E888</f>
        <v>6.097560975609756E-2</v>
      </c>
      <c r="L888" s="2">
        <f>ABS(G888-E888)</f>
        <v>6</v>
      </c>
      <c r="M888" s="50">
        <f>(L888/E888)</f>
        <v>7.3170731707317069E-2</v>
      </c>
      <c r="N888" s="2">
        <v>78</v>
      </c>
      <c r="O888" s="11">
        <f t="shared" si="26"/>
        <v>4</v>
      </c>
      <c r="P888" s="29">
        <f t="shared" si="27"/>
        <v>4.878048780487805E-2</v>
      </c>
    </row>
    <row r="889" spans="1:16" x14ac:dyDescent="0.35">
      <c r="A889" s="2" t="s">
        <v>51</v>
      </c>
      <c r="B889" s="2" t="s">
        <v>50</v>
      </c>
      <c r="C889" s="2" t="s">
        <v>11</v>
      </c>
      <c r="D889" s="2" t="s">
        <v>35</v>
      </c>
      <c r="E889" s="2">
        <v>69</v>
      </c>
      <c r="F889" s="2">
        <v>69</v>
      </c>
      <c r="G889" s="2">
        <v>62</v>
      </c>
      <c r="H889" s="2">
        <v>0</v>
      </c>
      <c r="I889" s="2">
        <v>0</v>
      </c>
      <c r="J889" s="2">
        <f>ABS(F889-E889)</f>
        <v>0</v>
      </c>
      <c r="K889" s="29">
        <f>J889/E889</f>
        <v>0</v>
      </c>
      <c r="L889" s="2">
        <f>ABS(G889-E889)</f>
        <v>7</v>
      </c>
      <c r="M889" s="50">
        <f>(L889/E889)</f>
        <v>0.10144927536231885</v>
      </c>
      <c r="N889" s="2">
        <v>70</v>
      </c>
      <c r="O889" s="11">
        <f t="shared" si="26"/>
        <v>1</v>
      </c>
      <c r="P889" s="29">
        <f t="shared" si="27"/>
        <v>1.4492753623188406E-2</v>
      </c>
    </row>
    <row r="890" spans="1:16" x14ac:dyDescent="0.35">
      <c r="A890" s="2" t="s">
        <v>51</v>
      </c>
      <c r="B890" s="2" t="s">
        <v>50</v>
      </c>
      <c r="C890" s="2" t="s">
        <v>36</v>
      </c>
      <c r="D890" s="2" t="s">
        <v>12</v>
      </c>
      <c r="E890" s="2">
        <v>174</v>
      </c>
      <c r="F890" s="2">
        <v>178</v>
      </c>
      <c r="G890" s="2">
        <v>176</v>
      </c>
      <c r="H890" s="2">
        <v>0</v>
      </c>
      <c r="I890" s="2">
        <v>0</v>
      </c>
      <c r="J890" s="2">
        <f>ABS(F890-E890)</f>
        <v>4</v>
      </c>
      <c r="K890" s="29">
        <f>J890/E890</f>
        <v>2.2988505747126436E-2</v>
      </c>
      <c r="L890" s="2">
        <f>ABS(G890-E890)</f>
        <v>2</v>
      </c>
      <c r="M890" s="50">
        <f>(L890/E890)</f>
        <v>1.1494252873563218E-2</v>
      </c>
      <c r="N890" s="2">
        <v>166</v>
      </c>
      <c r="O890" s="11">
        <f t="shared" si="26"/>
        <v>8</v>
      </c>
      <c r="P890" s="29">
        <f t="shared" si="27"/>
        <v>4.5977011494252873E-2</v>
      </c>
    </row>
    <row r="891" spans="1:16" x14ac:dyDescent="0.35">
      <c r="A891" s="2" t="s">
        <v>51</v>
      </c>
      <c r="B891" s="2" t="s">
        <v>50</v>
      </c>
      <c r="C891" s="2" t="s">
        <v>36</v>
      </c>
      <c r="D891" s="2" t="s">
        <v>13</v>
      </c>
      <c r="E891" s="2">
        <v>151</v>
      </c>
      <c r="F891" s="2">
        <v>140</v>
      </c>
      <c r="G891" s="2">
        <v>163</v>
      </c>
      <c r="H891" s="2">
        <v>0</v>
      </c>
      <c r="I891" s="2">
        <v>0</v>
      </c>
      <c r="J891" s="2">
        <f>ABS(F891-E891)</f>
        <v>11</v>
      </c>
      <c r="K891" s="29">
        <f>J891/E891</f>
        <v>7.2847682119205295E-2</v>
      </c>
      <c r="L891" s="2">
        <f>ABS(G891-E891)</f>
        <v>12</v>
      </c>
      <c r="M891" s="50">
        <f>(L891/E891)</f>
        <v>7.9470198675496692E-2</v>
      </c>
      <c r="N891" s="2">
        <v>156</v>
      </c>
      <c r="O891" s="11">
        <f t="shared" si="26"/>
        <v>5</v>
      </c>
      <c r="P891" s="29">
        <f t="shared" si="27"/>
        <v>3.3112582781456956E-2</v>
      </c>
    </row>
    <row r="892" spans="1:16" x14ac:dyDescent="0.35">
      <c r="A892" s="2" t="s">
        <v>51</v>
      </c>
      <c r="B892" s="2" t="s">
        <v>50</v>
      </c>
      <c r="C892" s="2" t="s">
        <v>36</v>
      </c>
      <c r="D892" s="2" t="s">
        <v>14</v>
      </c>
      <c r="E892" s="2">
        <v>192</v>
      </c>
      <c r="F892" s="2">
        <v>217</v>
      </c>
      <c r="G892" s="2">
        <v>190</v>
      </c>
      <c r="H892" s="2">
        <v>0</v>
      </c>
      <c r="I892" s="2">
        <v>0</v>
      </c>
      <c r="J892" s="2">
        <f>ABS(F892-E892)</f>
        <v>25</v>
      </c>
      <c r="K892" s="29">
        <f>J892/E892</f>
        <v>0.13020833333333334</v>
      </c>
      <c r="L892" s="2">
        <f>ABS(G892-E892)</f>
        <v>2</v>
      </c>
      <c r="M892" s="50">
        <f>(L892/E892)</f>
        <v>1.0416666666666666E-2</v>
      </c>
      <c r="N892" s="2">
        <v>193</v>
      </c>
      <c r="O892" s="11">
        <f t="shared" si="26"/>
        <v>1</v>
      </c>
      <c r="P892" s="29">
        <f t="shared" si="27"/>
        <v>5.208333333333333E-3</v>
      </c>
    </row>
    <row r="893" spans="1:16" x14ac:dyDescent="0.35">
      <c r="A893" s="2" t="s">
        <v>51</v>
      </c>
      <c r="B893" s="2" t="s">
        <v>50</v>
      </c>
      <c r="C893" s="2" t="s">
        <v>36</v>
      </c>
      <c r="D893" s="2" t="s">
        <v>15</v>
      </c>
      <c r="E893" s="2">
        <v>163</v>
      </c>
      <c r="F893" s="2">
        <v>178</v>
      </c>
      <c r="G893" s="2">
        <v>163</v>
      </c>
      <c r="H893" s="2">
        <v>1</v>
      </c>
      <c r="I893" s="2">
        <v>0</v>
      </c>
      <c r="J893" s="2">
        <f>ABS(F893-E893)</f>
        <v>15</v>
      </c>
      <c r="K893" s="29">
        <f>J893/E893</f>
        <v>9.202453987730061E-2</v>
      </c>
      <c r="L893" s="2">
        <f>ABS(G893-E893)</f>
        <v>0</v>
      </c>
      <c r="M893" s="50">
        <f>(L893/E893)</f>
        <v>0</v>
      </c>
      <c r="N893" s="2">
        <v>169</v>
      </c>
      <c r="O893" s="11">
        <f t="shared" si="26"/>
        <v>6</v>
      </c>
      <c r="P893" s="29">
        <f t="shared" si="27"/>
        <v>3.6809815950920248E-2</v>
      </c>
    </row>
    <row r="894" spans="1:16" x14ac:dyDescent="0.35">
      <c r="A894" s="2" t="s">
        <v>51</v>
      </c>
      <c r="B894" s="2" t="s">
        <v>50</v>
      </c>
      <c r="C894" s="2" t="s">
        <v>36</v>
      </c>
      <c r="D894" s="2" t="s">
        <v>16</v>
      </c>
      <c r="E894" s="2">
        <v>165</v>
      </c>
      <c r="F894" s="2">
        <v>171</v>
      </c>
      <c r="G894" s="2">
        <v>152</v>
      </c>
      <c r="H894" s="2">
        <v>0</v>
      </c>
      <c r="I894" s="2">
        <v>0</v>
      </c>
      <c r="J894" s="2">
        <f>ABS(F894-E894)</f>
        <v>6</v>
      </c>
      <c r="K894" s="29">
        <f>J894/E894</f>
        <v>3.6363636363636362E-2</v>
      </c>
      <c r="L894" s="2">
        <f>ABS(G894-E894)</f>
        <v>13</v>
      </c>
      <c r="M894" s="50">
        <f>(L894/E894)</f>
        <v>7.8787878787878782E-2</v>
      </c>
      <c r="N894" s="2">
        <v>163</v>
      </c>
      <c r="O894" s="11">
        <f t="shared" si="26"/>
        <v>2</v>
      </c>
      <c r="P894" s="29">
        <f t="shared" si="27"/>
        <v>1.2121212121212121E-2</v>
      </c>
    </row>
    <row r="895" spans="1:16" x14ac:dyDescent="0.35">
      <c r="A895" s="2" t="s">
        <v>51</v>
      </c>
      <c r="B895" s="2" t="s">
        <v>50</v>
      </c>
      <c r="C895" s="2" t="s">
        <v>36</v>
      </c>
      <c r="D895" s="2" t="s">
        <v>17</v>
      </c>
      <c r="E895" s="2">
        <v>53</v>
      </c>
      <c r="F895" s="2">
        <v>50</v>
      </c>
      <c r="G895" s="2">
        <v>53</v>
      </c>
      <c r="H895" s="2">
        <v>0</v>
      </c>
      <c r="I895" s="2">
        <v>1</v>
      </c>
      <c r="J895" s="2">
        <f>ABS(F895-E895)</f>
        <v>3</v>
      </c>
      <c r="K895" s="29">
        <f>J895/E895</f>
        <v>5.6603773584905662E-2</v>
      </c>
      <c r="L895" s="2">
        <f>ABS(G895-E895)</f>
        <v>0</v>
      </c>
      <c r="M895" s="50">
        <f>(L895/E895)</f>
        <v>0</v>
      </c>
      <c r="N895" s="2">
        <v>50</v>
      </c>
      <c r="O895" s="11">
        <f t="shared" si="26"/>
        <v>3</v>
      </c>
      <c r="P895" s="29">
        <f t="shared" si="27"/>
        <v>5.6603773584905662E-2</v>
      </c>
    </row>
    <row r="896" spans="1:16" x14ac:dyDescent="0.35">
      <c r="A896" s="2" t="s">
        <v>51</v>
      </c>
      <c r="B896" s="2" t="s">
        <v>50</v>
      </c>
      <c r="C896" s="2" t="s">
        <v>36</v>
      </c>
      <c r="D896" s="2" t="s">
        <v>18</v>
      </c>
      <c r="E896" s="2">
        <v>131</v>
      </c>
      <c r="F896" s="2">
        <v>122</v>
      </c>
      <c r="G896" s="2">
        <v>137</v>
      </c>
      <c r="H896" s="2">
        <v>1</v>
      </c>
      <c r="I896" s="2">
        <v>0</v>
      </c>
      <c r="J896" s="2">
        <f>ABS(F896-E896)</f>
        <v>9</v>
      </c>
      <c r="K896" s="29">
        <f>J896/E896</f>
        <v>6.8702290076335881E-2</v>
      </c>
      <c r="L896" s="2">
        <f>ABS(G896-E896)</f>
        <v>6</v>
      </c>
      <c r="M896" s="50">
        <f>(L896/E896)</f>
        <v>4.5801526717557252E-2</v>
      </c>
      <c r="N896" s="2">
        <v>124</v>
      </c>
      <c r="O896" s="11">
        <f t="shared" si="26"/>
        <v>7</v>
      </c>
      <c r="P896" s="29">
        <f t="shared" si="27"/>
        <v>5.3435114503816793E-2</v>
      </c>
    </row>
    <row r="897" spans="1:16" x14ac:dyDescent="0.35">
      <c r="A897" s="2" t="s">
        <v>51</v>
      </c>
      <c r="B897" s="2" t="s">
        <v>50</v>
      </c>
      <c r="C897" s="2" t="s">
        <v>36</v>
      </c>
      <c r="D897" s="2" t="s">
        <v>19</v>
      </c>
      <c r="E897" s="2">
        <v>117</v>
      </c>
      <c r="F897" s="2">
        <v>110</v>
      </c>
      <c r="G897" s="2">
        <v>117</v>
      </c>
      <c r="H897" s="2">
        <v>0</v>
      </c>
      <c r="I897" s="2">
        <v>0</v>
      </c>
      <c r="J897" s="2">
        <f>ABS(F897-E897)</f>
        <v>7</v>
      </c>
      <c r="K897" s="29">
        <f>J897/E897</f>
        <v>5.9829059829059832E-2</v>
      </c>
      <c r="L897" s="2">
        <f>ABS(G897-E897)</f>
        <v>0</v>
      </c>
      <c r="M897" s="50">
        <f>(L897/E897)</f>
        <v>0</v>
      </c>
      <c r="N897" s="2">
        <v>119</v>
      </c>
      <c r="O897" s="11">
        <f t="shared" si="26"/>
        <v>2</v>
      </c>
      <c r="P897" s="29">
        <f t="shared" si="27"/>
        <v>1.7094017094017096E-2</v>
      </c>
    </row>
    <row r="898" spans="1:16" x14ac:dyDescent="0.35">
      <c r="A898" s="2" t="s">
        <v>51</v>
      </c>
      <c r="B898" s="2" t="s">
        <v>50</v>
      </c>
      <c r="C898" s="2" t="s">
        <v>36</v>
      </c>
      <c r="D898" s="2" t="s">
        <v>20</v>
      </c>
      <c r="E898" s="2">
        <v>112</v>
      </c>
      <c r="F898" s="2">
        <v>92</v>
      </c>
      <c r="G898" s="2">
        <v>109</v>
      </c>
      <c r="H898" s="2">
        <v>1</v>
      </c>
      <c r="I898" s="2">
        <v>0</v>
      </c>
      <c r="J898" s="2">
        <f>ABS(F898-E898)</f>
        <v>20</v>
      </c>
      <c r="K898" s="29">
        <f>J898/E898</f>
        <v>0.17857142857142858</v>
      </c>
      <c r="L898" s="2">
        <f>ABS(G898-E898)</f>
        <v>3</v>
      </c>
      <c r="M898" s="50">
        <f>(L898/E898)</f>
        <v>2.6785714285714284E-2</v>
      </c>
      <c r="N898" s="2">
        <v>99</v>
      </c>
      <c r="O898" s="11">
        <f t="shared" si="26"/>
        <v>13</v>
      </c>
      <c r="P898" s="29">
        <f t="shared" si="27"/>
        <v>0.11607142857142858</v>
      </c>
    </row>
    <row r="899" spans="1:16" x14ac:dyDescent="0.35">
      <c r="A899" s="2" t="s">
        <v>51</v>
      </c>
      <c r="B899" s="2" t="s">
        <v>50</v>
      </c>
      <c r="C899" s="2" t="s">
        <v>36</v>
      </c>
      <c r="D899" s="2" t="s">
        <v>21</v>
      </c>
      <c r="E899" s="2">
        <v>129</v>
      </c>
      <c r="F899" s="2">
        <v>142</v>
      </c>
      <c r="G899" s="2">
        <v>124</v>
      </c>
      <c r="H899" s="2">
        <v>0</v>
      </c>
      <c r="I899" s="2">
        <v>0</v>
      </c>
      <c r="J899" s="2">
        <f>ABS(F899-E899)</f>
        <v>13</v>
      </c>
      <c r="K899" s="29">
        <f>J899/E899</f>
        <v>0.10077519379844961</v>
      </c>
      <c r="L899" s="2">
        <f>ABS(G899-E899)</f>
        <v>5</v>
      </c>
      <c r="M899" s="50">
        <f>(L899/E899)</f>
        <v>3.875968992248062E-2</v>
      </c>
      <c r="N899" s="2">
        <v>131</v>
      </c>
      <c r="O899" s="11">
        <f t="shared" ref="O899:O961" si="28">ABS(N899-E899)</f>
        <v>2</v>
      </c>
      <c r="P899" s="29">
        <f t="shared" ref="P899:P961" si="29">O899/E899</f>
        <v>1.5503875968992248E-2</v>
      </c>
    </row>
    <row r="900" spans="1:16" x14ac:dyDescent="0.35">
      <c r="A900" s="2" t="s">
        <v>51</v>
      </c>
      <c r="B900" s="2" t="s">
        <v>50</v>
      </c>
      <c r="C900" s="2" t="s">
        <v>36</v>
      </c>
      <c r="D900" s="2" t="s">
        <v>22</v>
      </c>
      <c r="E900" s="2">
        <v>124</v>
      </c>
      <c r="F900" s="2">
        <v>112</v>
      </c>
      <c r="G900" s="2">
        <v>122</v>
      </c>
      <c r="H900" s="2">
        <v>0</v>
      </c>
      <c r="I900" s="2">
        <v>0</v>
      </c>
      <c r="J900" s="2">
        <f>ABS(F900-E900)</f>
        <v>12</v>
      </c>
      <c r="K900" s="29">
        <f>J900/E900</f>
        <v>9.6774193548387094E-2</v>
      </c>
      <c r="L900" s="2">
        <f>ABS(G900-E900)</f>
        <v>2</v>
      </c>
      <c r="M900" s="50">
        <f>(L900/E900)</f>
        <v>1.6129032258064516E-2</v>
      </c>
      <c r="N900" s="2">
        <v>127</v>
      </c>
      <c r="O900" s="11">
        <f t="shared" si="28"/>
        <v>3</v>
      </c>
      <c r="P900" s="29">
        <f t="shared" si="29"/>
        <v>2.4193548387096774E-2</v>
      </c>
    </row>
    <row r="901" spans="1:16" x14ac:dyDescent="0.35">
      <c r="A901" s="2" t="s">
        <v>51</v>
      </c>
      <c r="B901" s="2" t="s">
        <v>50</v>
      </c>
      <c r="C901" s="2" t="s">
        <v>36</v>
      </c>
      <c r="D901" s="2" t="s">
        <v>23</v>
      </c>
      <c r="E901" s="2">
        <v>152</v>
      </c>
      <c r="F901" s="2">
        <v>180</v>
      </c>
      <c r="G901" s="2">
        <v>149</v>
      </c>
      <c r="H901" s="2">
        <v>1</v>
      </c>
      <c r="I901" s="2">
        <v>0</v>
      </c>
      <c r="J901" s="2">
        <f>ABS(F901-E901)</f>
        <v>28</v>
      </c>
      <c r="K901" s="29">
        <f>J901/E901</f>
        <v>0.18421052631578946</v>
      </c>
      <c r="L901" s="2">
        <f>ABS(G901-E901)</f>
        <v>3</v>
      </c>
      <c r="M901" s="50">
        <f>(L901/E901)</f>
        <v>1.9736842105263157E-2</v>
      </c>
      <c r="N901" s="2">
        <v>156</v>
      </c>
      <c r="O901" s="11">
        <f t="shared" si="28"/>
        <v>4</v>
      </c>
      <c r="P901" s="29">
        <f t="shared" si="29"/>
        <v>2.6315789473684209E-2</v>
      </c>
    </row>
    <row r="902" spans="1:16" x14ac:dyDescent="0.35">
      <c r="A902" s="2" t="s">
        <v>51</v>
      </c>
      <c r="B902" s="2" t="s">
        <v>50</v>
      </c>
      <c r="C902" s="2" t="s">
        <v>36</v>
      </c>
      <c r="D902" s="2" t="s">
        <v>24</v>
      </c>
      <c r="E902" s="2">
        <v>163</v>
      </c>
      <c r="F902" s="2">
        <v>155</v>
      </c>
      <c r="G902" s="2">
        <v>156</v>
      </c>
      <c r="H902" s="2">
        <v>1</v>
      </c>
      <c r="I902" s="2">
        <v>0</v>
      </c>
      <c r="J902" s="2">
        <f>ABS(F902-E902)</f>
        <v>8</v>
      </c>
      <c r="K902" s="29">
        <f>J902/E902</f>
        <v>4.9079754601226995E-2</v>
      </c>
      <c r="L902" s="2">
        <f>ABS(G902-E902)</f>
        <v>7</v>
      </c>
      <c r="M902" s="50">
        <f>(L902/E902)</f>
        <v>4.2944785276073622E-2</v>
      </c>
      <c r="N902" s="2">
        <v>154</v>
      </c>
      <c r="O902" s="11">
        <f t="shared" si="28"/>
        <v>9</v>
      </c>
      <c r="P902" s="29">
        <f t="shared" si="29"/>
        <v>5.5214723926380369E-2</v>
      </c>
    </row>
    <row r="903" spans="1:16" x14ac:dyDescent="0.35">
      <c r="A903" s="2" t="s">
        <v>51</v>
      </c>
      <c r="B903" s="2" t="s">
        <v>50</v>
      </c>
      <c r="C903" s="2" t="s">
        <v>36</v>
      </c>
      <c r="D903" s="2" t="s">
        <v>25</v>
      </c>
      <c r="E903" s="2">
        <v>160</v>
      </c>
      <c r="F903" s="2">
        <v>153</v>
      </c>
      <c r="G903" s="2">
        <v>162</v>
      </c>
      <c r="H903" s="2">
        <v>0</v>
      </c>
      <c r="I903" s="2">
        <v>0</v>
      </c>
      <c r="J903" s="2">
        <f>ABS(F903-E903)</f>
        <v>7</v>
      </c>
      <c r="K903" s="29">
        <f>J903/E903</f>
        <v>4.3749999999999997E-2</v>
      </c>
      <c r="L903" s="2">
        <f>ABS(G903-E903)</f>
        <v>2</v>
      </c>
      <c r="M903" s="50">
        <f>(L903/E903)</f>
        <v>1.2500000000000001E-2</v>
      </c>
      <c r="N903" s="2">
        <v>159</v>
      </c>
      <c r="O903" s="11">
        <f t="shared" si="28"/>
        <v>1</v>
      </c>
      <c r="P903" s="29">
        <f t="shared" si="29"/>
        <v>6.2500000000000003E-3</v>
      </c>
    </row>
    <row r="904" spans="1:16" x14ac:dyDescent="0.35">
      <c r="A904" s="2" t="s">
        <v>51</v>
      </c>
      <c r="B904" s="2" t="s">
        <v>50</v>
      </c>
      <c r="C904" s="2" t="s">
        <v>36</v>
      </c>
      <c r="D904" s="2" t="s">
        <v>26</v>
      </c>
      <c r="E904" s="2">
        <v>166</v>
      </c>
      <c r="F904" s="2">
        <v>166</v>
      </c>
      <c r="G904" s="2">
        <v>169</v>
      </c>
      <c r="H904" s="2">
        <v>0</v>
      </c>
      <c r="I904" s="2">
        <v>0</v>
      </c>
      <c r="J904" s="2">
        <f>ABS(F904-E904)</f>
        <v>0</v>
      </c>
      <c r="K904" s="29">
        <f>J904/E904</f>
        <v>0</v>
      </c>
      <c r="L904" s="2">
        <f>ABS(G904-E904)</f>
        <v>3</v>
      </c>
      <c r="M904" s="50">
        <f>(L904/E904)</f>
        <v>1.8072289156626505E-2</v>
      </c>
      <c r="N904" s="2">
        <v>167</v>
      </c>
      <c r="O904" s="11">
        <f t="shared" si="28"/>
        <v>1</v>
      </c>
      <c r="P904" s="29">
        <f t="shared" si="29"/>
        <v>6.024096385542169E-3</v>
      </c>
    </row>
    <row r="905" spans="1:16" x14ac:dyDescent="0.35">
      <c r="A905" s="2" t="s">
        <v>51</v>
      </c>
      <c r="B905" s="2" t="s">
        <v>50</v>
      </c>
      <c r="C905" s="2" t="s">
        <v>36</v>
      </c>
      <c r="D905" s="2" t="s">
        <v>27</v>
      </c>
      <c r="E905" s="2">
        <v>174</v>
      </c>
      <c r="F905" s="2">
        <v>133</v>
      </c>
      <c r="G905" s="2">
        <v>169</v>
      </c>
      <c r="H905" s="2">
        <v>0</v>
      </c>
      <c r="I905" s="2">
        <v>0</v>
      </c>
      <c r="J905" s="2">
        <f>ABS(F905-E905)</f>
        <v>41</v>
      </c>
      <c r="K905" s="29">
        <f>J905/E905</f>
        <v>0.23563218390804597</v>
      </c>
      <c r="L905" s="2">
        <f>ABS(G905-E905)</f>
        <v>5</v>
      </c>
      <c r="M905" s="50">
        <f>(L905/E905)</f>
        <v>2.8735632183908046E-2</v>
      </c>
      <c r="N905" s="2">
        <v>158</v>
      </c>
      <c r="O905" s="11">
        <f t="shared" si="28"/>
        <v>16</v>
      </c>
      <c r="P905" s="29">
        <f t="shared" si="29"/>
        <v>9.1954022988505746E-2</v>
      </c>
    </row>
    <row r="906" spans="1:16" x14ac:dyDescent="0.35">
      <c r="A906" s="2" t="s">
        <v>51</v>
      </c>
      <c r="B906" s="2" t="s">
        <v>50</v>
      </c>
      <c r="C906" s="2" t="s">
        <v>36</v>
      </c>
      <c r="D906" s="2" t="s">
        <v>28</v>
      </c>
      <c r="E906" s="2">
        <v>177</v>
      </c>
      <c r="F906" s="2">
        <v>150</v>
      </c>
      <c r="G906" s="2">
        <v>150</v>
      </c>
      <c r="H906" s="2">
        <v>1</v>
      </c>
      <c r="I906" s="2">
        <v>0</v>
      </c>
      <c r="J906" s="2">
        <f>ABS(F906-E906)</f>
        <v>27</v>
      </c>
      <c r="K906" s="29">
        <f>J906/E906</f>
        <v>0.15254237288135594</v>
      </c>
      <c r="L906" s="2">
        <f>ABS(G906-E906)</f>
        <v>27</v>
      </c>
      <c r="M906" s="50">
        <f>(L906/E906)</f>
        <v>0.15254237288135594</v>
      </c>
      <c r="N906" s="2">
        <v>166</v>
      </c>
      <c r="O906" s="11">
        <f t="shared" si="28"/>
        <v>11</v>
      </c>
      <c r="P906" s="29">
        <f t="shared" si="29"/>
        <v>6.2146892655367235E-2</v>
      </c>
    </row>
    <row r="907" spans="1:16" x14ac:dyDescent="0.35">
      <c r="A907" s="2" t="s">
        <v>51</v>
      </c>
      <c r="B907" s="2" t="s">
        <v>50</v>
      </c>
      <c r="C907" s="2" t="s">
        <v>36</v>
      </c>
      <c r="D907" s="2" t="s">
        <v>29</v>
      </c>
      <c r="E907" s="2">
        <v>76</v>
      </c>
      <c r="F907" s="2">
        <v>78</v>
      </c>
      <c r="G907" s="2">
        <v>71</v>
      </c>
      <c r="H907" s="2">
        <v>0</v>
      </c>
      <c r="I907" s="2">
        <v>1</v>
      </c>
      <c r="J907" s="2">
        <f>ABS(F907-E907)</f>
        <v>2</v>
      </c>
      <c r="K907" s="29">
        <f>J907/E907</f>
        <v>2.6315789473684209E-2</v>
      </c>
      <c r="L907" s="2">
        <f>ABS(G907-E907)</f>
        <v>5</v>
      </c>
      <c r="M907" s="50">
        <f>(L907/E907)</f>
        <v>6.5789473684210523E-2</v>
      </c>
      <c r="N907" s="2">
        <v>79</v>
      </c>
      <c r="O907" s="11">
        <f t="shared" si="28"/>
        <v>3</v>
      </c>
      <c r="P907" s="29">
        <f t="shared" si="29"/>
        <v>3.9473684210526314E-2</v>
      </c>
    </row>
    <row r="908" spans="1:16" x14ac:dyDescent="0.35">
      <c r="A908" s="2" t="s">
        <v>51</v>
      </c>
      <c r="B908" s="2" t="s">
        <v>50</v>
      </c>
      <c r="C908" s="2" t="s">
        <v>36</v>
      </c>
      <c r="D908" s="2" t="s">
        <v>30</v>
      </c>
      <c r="E908" s="2">
        <v>131</v>
      </c>
      <c r="F908" s="2">
        <v>123</v>
      </c>
      <c r="G908" s="2">
        <v>134</v>
      </c>
      <c r="H908" s="2">
        <v>0</v>
      </c>
      <c r="I908" s="2">
        <v>0</v>
      </c>
      <c r="J908" s="2">
        <f>ABS(F908-E908)</f>
        <v>8</v>
      </c>
      <c r="K908" s="29">
        <f>J908/E908</f>
        <v>6.1068702290076333E-2</v>
      </c>
      <c r="L908" s="2">
        <f>ABS(G908-E908)</f>
        <v>3</v>
      </c>
      <c r="M908" s="50">
        <f>(L908/E908)</f>
        <v>2.2900763358778626E-2</v>
      </c>
      <c r="N908" s="2">
        <v>130</v>
      </c>
      <c r="O908" s="11">
        <f t="shared" si="28"/>
        <v>1</v>
      </c>
      <c r="P908" s="29">
        <f t="shared" si="29"/>
        <v>7.6335877862595417E-3</v>
      </c>
    </row>
    <row r="909" spans="1:16" x14ac:dyDescent="0.35">
      <c r="A909" s="2" t="s">
        <v>51</v>
      </c>
      <c r="B909" s="2" t="s">
        <v>50</v>
      </c>
      <c r="C909" s="2" t="s">
        <v>36</v>
      </c>
      <c r="D909" s="2" t="s">
        <v>31</v>
      </c>
      <c r="E909" s="2">
        <v>85</v>
      </c>
      <c r="F909" s="2">
        <v>83</v>
      </c>
      <c r="G909" s="2">
        <v>82</v>
      </c>
      <c r="H909" s="2">
        <v>0</v>
      </c>
      <c r="I909" s="2">
        <v>0</v>
      </c>
      <c r="J909" s="2">
        <f>ABS(F909-E909)</f>
        <v>2</v>
      </c>
      <c r="K909" s="29">
        <f>J909/E909</f>
        <v>2.3529411764705882E-2</v>
      </c>
      <c r="L909" s="2">
        <f>ABS(G909-E909)</f>
        <v>3</v>
      </c>
      <c r="M909" s="50">
        <f>(L909/E909)</f>
        <v>3.5294117647058823E-2</v>
      </c>
      <c r="N909" s="2">
        <v>91</v>
      </c>
      <c r="O909" s="11">
        <f t="shared" si="28"/>
        <v>6</v>
      </c>
      <c r="P909" s="29">
        <f t="shared" si="29"/>
        <v>7.0588235294117646E-2</v>
      </c>
    </row>
    <row r="910" spans="1:16" x14ac:dyDescent="0.35">
      <c r="A910" s="2" t="s">
        <v>51</v>
      </c>
      <c r="B910" s="2" t="s">
        <v>50</v>
      </c>
      <c r="C910" s="2" t="s">
        <v>36</v>
      </c>
      <c r="D910" s="2" t="s">
        <v>32</v>
      </c>
      <c r="E910" s="2">
        <v>62</v>
      </c>
      <c r="F910" s="2">
        <v>50</v>
      </c>
      <c r="G910" s="2">
        <v>62</v>
      </c>
      <c r="H910" s="2">
        <v>1</v>
      </c>
      <c r="I910" s="2">
        <v>1</v>
      </c>
      <c r="J910" s="2">
        <f>ABS(F910-E910)</f>
        <v>12</v>
      </c>
      <c r="K910" s="29">
        <f>J910/E910</f>
        <v>0.19354838709677419</v>
      </c>
      <c r="L910" s="2">
        <f>ABS(G910-E910)</f>
        <v>0</v>
      </c>
      <c r="M910" s="50">
        <f>(L910/E910)</f>
        <v>0</v>
      </c>
      <c r="N910" s="2">
        <v>53</v>
      </c>
      <c r="O910" s="11">
        <f t="shared" si="28"/>
        <v>9</v>
      </c>
      <c r="P910" s="29">
        <f t="shared" si="29"/>
        <v>0.14516129032258066</v>
      </c>
    </row>
    <row r="911" spans="1:16" x14ac:dyDescent="0.35">
      <c r="A911" s="2" t="s">
        <v>51</v>
      </c>
      <c r="B911" s="2" t="s">
        <v>50</v>
      </c>
      <c r="C911" s="2" t="s">
        <v>36</v>
      </c>
      <c r="D911" s="2" t="s">
        <v>33</v>
      </c>
      <c r="E911" s="2">
        <v>126</v>
      </c>
      <c r="F911" s="2">
        <v>150</v>
      </c>
      <c r="G911" s="2">
        <v>122</v>
      </c>
      <c r="H911" s="2">
        <v>0</v>
      </c>
      <c r="I911" s="2">
        <v>0</v>
      </c>
      <c r="J911" s="2">
        <f>ABS(F911-E911)</f>
        <v>24</v>
      </c>
      <c r="K911" s="29">
        <f>J911/E911</f>
        <v>0.19047619047619047</v>
      </c>
      <c r="L911" s="2">
        <f>ABS(G911-E911)</f>
        <v>4</v>
      </c>
      <c r="M911" s="50">
        <f>(L911/E911)</f>
        <v>3.1746031746031744E-2</v>
      </c>
      <c r="N911" s="2">
        <v>136</v>
      </c>
      <c r="O911" s="11">
        <f t="shared" si="28"/>
        <v>10</v>
      </c>
      <c r="P911" s="29">
        <f t="shared" si="29"/>
        <v>7.9365079365079361E-2</v>
      </c>
    </row>
    <row r="912" spans="1:16" x14ac:dyDescent="0.35">
      <c r="A912" s="2" t="s">
        <v>51</v>
      </c>
      <c r="B912" s="2" t="s">
        <v>50</v>
      </c>
      <c r="C912" s="2" t="s">
        <v>36</v>
      </c>
      <c r="D912" s="2" t="s">
        <v>34</v>
      </c>
      <c r="E912" s="2">
        <v>67</v>
      </c>
      <c r="F912" s="2">
        <v>55</v>
      </c>
      <c r="G912" s="2">
        <v>58</v>
      </c>
      <c r="H912" s="2">
        <v>0</v>
      </c>
      <c r="I912" s="2">
        <v>1</v>
      </c>
      <c r="J912" s="2">
        <f>ABS(F912-E912)</f>
        <v>12</v>
      </c>
      <c r="K912" s="29">
        <f>J912/E912</f>
        <v>0.17910447761194029</v>
      </c>
      <c r="L912" s="2">
        <f>ABS(G912-E912)</f>
        <v>9</v>
      </c>
      <c r="M912" s="50">
        <f>(L912/E912)</f>
        <v>0.13432835820895522</v>
      </c>
      <c r="N912" s="2">
        <v>59</v>
      </c>
      <c r="O912" s="11">
        <f t="shared" si="28"/>
        <v>8</v>
      </c>
      <c r="P912" s="29">
        <f t="shared" si="29"/>
        <v>0.11940298507462686</v>
      </c>
    </row>
    <row r="913" spans="1:16" x14ac:dyDescent="0.35">
      <c r="A913" s="2" t="s">
        <v>51</v>
      </c>
      <c r="B913" s="2" t="s">
        <v>50</v>
      </c>
      <c r="C913" s="2" t="s">
        <v>36</v>
      </c>
      <c r="D913" s="2" t="s">
        <v>35</v>
      </c>
      <c r="E913" s="2">
        <v>78</v>
      </c>
      <c r="F913" s="2">
        <v>78</v>
      </c>
      <c r="G913" s="2">
        <v>82</v>
      </c>
      <c r="H913" s="2">
        <v>0</v>
      </c>
      <c r="I913" s="2">
        <v>1</v>
      </c>
      <c r="J913" s="2">
        <f>ABS(F913-E913)</f>
        <v>0</v>
      </c>
      <c r="K913" s="29">
        <f>J913/E913</f>
        <v>0</v>
      </c>
      <c r="L913" s="2">
        <f>ABS(G913-E913)</f>
        <v>4</v>
      </c>
      <c r="M913" s="50">
        <f>(L913/E913)</f>
        <v>5.128205128205128E-2</v>
      </c>
      <c r="N913" s="2">
        <v>76</v>
      </c>
      <c r="O913" s="11">
        <f t="shared" si="28"/>
        <v>2</v>
      </c>
      <c r="P913" s="29">
        <f t="shared" si="29"/>
        <v>2.564102564102564E-2</v>
      </c>
    </row>
    <row r="914" spans="1:16" x14ac:dyDescent="0.35">
      <c r="A914" s="2" t="s">
        <v>51</v>
      </c>
      <c r="B914" s="2" t="s">
        <v>50</v>
      </c>
      <c r="C914" s="2" t="s">
        <v>37</v>
      </c>
      <c r="D914" s="2" t="s">
        <v>12</v>
      </c>
      <c r="E914" s="2">
        <v>88</v>
      </c>
      <c r="F914" s="2">
        <v>85</v>
      </c>
      <c r="G914" s="2">
        <v>81</v>
      </c>
      <c r="H914" s="2">
        <v>0</v>
      </c>
      <c r="I914" s="2">
        <v>0</v>
      </c>
      <c r="J914" s="2">
        <f>ABS(F914-E914)</f>
        <v>3</v>
      </c>
      <c r="K914" s="29">
        <f>J914/E914</f>
        <v>3.4090909090909088E-2</v>
      </c>
      <c r="L914" s="2">
        <f>ABS(G914-E914)</f>
        <v>7</v>
      </c>
      <c r="M914" s="50">
        <f>(L914/E914)</f>
        <v>7.9545454545454544E-2</v>
      </c>
      <c r="N914" s="2">
        <v>87</v>
      </c>
      <c r="O914" s="11">
        <f t="shared" si="28"/>
        <v>1</v>
      </c>
      <c r="P914" s="29">
        <f t="shared" si="29"/>
        <v>1.1363636363636364E-2</v>
      </c>
    </row>
    <row r="915" spans="1:16" x14ac:dyDescent="0.35">
      <c r="A915" s="2" t="s">
        <v>51</v>
      </c>
      <c r="B915" s="2" t="s">
        <v>50</v>
      </c>
      <c r="C915" s="2" t="s">
        <v>37</v>
      </c>
      <c r="D915" s="2" t="s">
        <v>13</v>
      </c>
      <c r="E915" s="2">
        <v>103</v>
      </c>
      <c r="F915" s="2">
        <v>83</v>
      </c>
      <c r="G915" s="2">
        <v>96</v>
      </c>
      <c r="H915" s="2">
        <v>1</v>
      </c>
      <c r="I915" s="2">
        <v>0</v>
      </c>
      <c r="J915" s="2">
        <f>ABS(F915-E915)</f>
        <v>20</v>
      </c>
      <c r="K915" s="29">
        <f>J915/E915</f>
        <v>0.1941747572815534</v>
      </c>
      <c r="L915" s="2">
        <f>ABS(G915-E915)</f>
        <v>7</v>
      </c>
      <c r="M915" s="50">
        <f>(L915/E915)</f>
        <v>6.7961165048543687E-2</v>
      </c>
      <c r="N915" s="2">
        <v>95</v>
      </c>
      <c r="O915" s="11">
        <f t="shared" si="28"/>
        <v>8</v>
      </c>
      <c r="P915" s="29">
        <f t="shared" si="29"/>
        <v>7.7669902912621352E-2</v>
      </c>
    </row>
    <row r="916" spans="1:16" x14ac:dyDescent="0.35">
      <c r="A916" s="2" t="s">
        <v>51</v>
      </c>
      <c r="B916" s="2" t="s">
        <v>50</v>
      </c>
      <c r="C916" s="2" t="s">
        <v>37</v>
      </c>
      <c r="D916" s="2" t="s">
        <v>14</v>
      </c>
      <c r="E916" s="2">
        <v>107</v>
      </c>
      <c r="F916" s="2">
        <v>102</v>
      </c>
      <c r="G916" s="2">
        <v>97</v>
      </c>
      <c r="H916" s="2">
        <v>0</v>
      </c>
      <c r="I916" s="2">
        <v>0</v>
      </c>
      <c r="J916" s="2">
        <f>ABS(F916-E916)</f>
        <v>5</v>
      </c>
      <c r="K916" s="29">
        <f>J916/E916</f>
        <v>4.6728971962616821E-2</v>
      </c>
      <c r="L916" s="2">
        <f>ABS(G916-E916)</f>
        <v>10</v>
      </c>
      <c r="M916" s="50">
        <f>(L916/E916)</f>
        <v>9.3457943925233641E-2</v>
      </c>
      <c r="N916" s="2">
        <v>105</v>
      </c>
      <c r="O916" s="11">
        <f t="shared" si="28"/>
        <v>2</v>
      </c>
      <c r="P916" s="29">
        <f t="shared" si="29"/>
        <v>1.8691588785046728E-2</v>
      </c>
    </row>
    <row r="917" spans="1:16" x14ac:dyDescent="0.35">
      <c r="A917" s="2" t="s">
        <v>51</v>
      </c>
      <c r="B917" s="2" t="s">
        <v>50</v>
      </c>
      <c r="C917" s="2" t="s">
        <v>37</v>
      </c>
      <c r="D917" s="2" t="s">
        <v>15</v>
      </c>
      <c r="E917" s="2">
        <v>99</v>
      </c>
      <c r="F917" s="2">
        <v>96</v>
      </c>
      <c r="G917" s="2">
        <v>91</v>
      </c>
      <c r="H917" s="2">
        <v>1</v>
      </c>
      <c r="I917" s="2">
        <v>0</v>
      </c>
      <c r="J917" s="2">
        <f>ABS(F917-E917)</f>
        <v>3</v>
      </c>
      <c r="K917" s="29">
        <f>J917/E917</f>
        <v>3.0303030303030304E-2</v>
      </c>
      <c r="L917" s="2">
        <f>ABS(G917-E917)</f>
        <v>8</v>
      </c>
      <c r="M917" s="50">
        <f>(L917/E917)</f>
        <v>8.0808080808080815E-2</v>
      </c>
      <c r="N917" s="2">
        <v>97</v>
      </c>
      <c r="O917" s="11">
        <f t="shared" si="28"/>
        <v>2</v>
      </c>
      <c r="P917" s="29">
        <f t="shared" si="29"/>
        <v>2.0202020202020204E-2</v>
      </c>
    </row>
    <row r="918" spans="1:16" x14ac:dyDescent="0.35">
      <c r="A918" s="2" t="s">
        <v>51</v>
      </c>
      <c r="B918" s="2" t="s">
        <v>50</v>
      </c>
      <c r="C918" s="2" t="s">
        <v>37</v>
      </c>
      <c r="D918" s="2" t="s">
        <v>16</v>
      </c>
      <c r="E918" s="2">
        <v>87</v>
      </c>
      <c r="F918" s="2">
        <v>103</v>
      </c>
      <c r="G918" s="2">
        <v>89</v>
      </c>
      <c r="H918" s="2">
        <v>0</v>
      </c>
      <c r="I918" s="2">
        <v>0</v>
      </c>
      <c r="J918" s="2">
        <f>ABS(F918-E918)</f>
        <v>16</v>
      </c>
      <c r="K918" s="29">
        <f>J918/E918</f>
        <v>0.18390804597701149</v>
      </c>
      <c r="L918" s="2">
        <f>ABS(G918-E918)</f>
        <v>2</v>
      </c>
      <c r="M918" s="50">
        <f>(L918/E918)</f>
        <v>2.2988505747126436E-2</v>
      </c>
      <c r="N918" s="2">
        <v>99</v>
      </c>
      <c r="O918" s="11">
        <f t="shared" si="28"/>
        <v>12</v>
      </c>
      <c r="P918" s="29">
        <f t="shared" si="29"/>
        <v>0.13793103448275862</v>
      </c>
    </row>
    <row r="919" spans="1:16" x14ac:dyDescent="0.35">
      <c r="A919" s="2" t="s">
        <v>51</v>
      </c>
      <c r="B919" s="2" t="s">
        <v>50</v>
      </c>
      <c r="C919" s="2" t="s">
        <v>37</v>
      </c>
      <c r="D919" s="2" t="s">
        <v>17</v>
      </c>
      <c r="E919" s="2">
        <v>77</v>
      </c>
      <c r="F919" s="2">
        <v>76</v>
      </c>
      <c r="G919" s="2">
        <v>72</v>
      </c>
      <c r="H919" s="2">
        <v>0</v>
      </c>
      <c r="I919" s="2">
        <v>0</v>
      </c>
      <c r="J919" s="2">
        <f>ABS(F919-E919)</f>
        <v>1</v>
      </c>
      <c r="K919" s="29">
        <f>J919/E919</f>
        <v>1.2987012987012988E-2</v>
      </c>
      <c r="L919" s="2">
        <f>ABS(G919-E919)</f>
        <v>5</v>
      </c>
      <c r="M919" s="50">
        <f>(L919/E919)</f>
        <v>6.4935064935064929E-2</v>
      </c>
      <c r="N919" s="2">
        <v>82</v>
      </c>
      <c r="O919" s="11">
        <f t="shared" si="28"/>
        <v>5</v>
      </c>
      <c r="P919" s="29">
        <f t="shared" si="29"/>
        <v>6.4935064935064929E-2</v>
      </c>
    </row>
    <row r="920" spans="1:16" x14ac:dyDescent="0.35">
      <c r="A920" s="2" t="s">
        <v>51</v>
      </c>
      <c r="B920" s="2" t="s">
        <v>50</v>
      </c>
      <c r="C920" s="2" t="s">
        <v>37</v>
      </c>
      <c r="D920" s="2" t="s">
        <v>18</v>
      </c>
      <c r="E920" s="2">
        <v>64</v>
      </c>
      <c r="F920" s="2">
        <v>71</v>
      </c>
      <c r="G920" s="2">
        <v>63</v>
      </c>
      <c r="H920" s="2">
        <v>1</v>
      </c>
      <c r="I920" s="2">
        <v>0</v>
      </c>
      <c r="J920" s="2">
        <f>ABS(F920-E920)</f>
        <v>7</v>
      </c>
      <c r="K920" s="29">
        <f>J920/E920</f>
        <v>0.109375</v>
      </c>
      <c r="L920" s="2">
        <f>ABS(G920-E920)</f>
        <v>1</v>
      </c>
      <c r="M920" s="50">
        <f>(L920/E920)</f>
        <v>1.5625E-2</v>
      </c>
      <c r="N920" s="2">
        <v>70</v>
      </c>
      <c r="O920" s="11">
        <f t="shared" si="28"/>
        <v>6</v>
      </c>
      <c r="P920" s="29">
        <f t="shared" si="29"/>
        <v>9.375E-2</v>
      </c>
    </row>
    <row r="921" spans="1:16" x14ac:dyDescent="0.35">
      <c r="A921" s="2" t="s">
        <v>51</v>
      </c>
      <c r="B921" s="2" t="s">
        <v>50</v>
      </c>
      <c r="C921" s="2" t="s">
        <v>37</v>
      </c>
      <c r="D921" s="2" t="s">
        <v>19</v>
      </c>
      <c r="E921" s="2">
        <v>58</v>
      </c>
      <c r="F921" s="2">
        <v>60</v>
      </c>
      <c r="G921" s="2">
        <v>57</v>
      </c>
      <c r="H921" s="2">
        <v>0</v>
      </c>
      <c r="I921" s="2">
        <v>0</v>
      </c>
      <c r="J921" s="2">
        <f>ABS(F921-E921)</f>
        <v>2</v>
      </c>
      <c r="K921" s="29">
        <f>J921/E921</f>
        <v>3.4482758620689655E-2</v>
      </c>
      <c r="L921" s="2">
        <f>ABS(G921-E921)</f>
        <v>1</v>
      </c>
      <c r="M921" s="50">
        <f>(L921/E921)</f>
        <v>1.7241379310344827E-2</v>
      </c>
      <c r="N921" s="2">
        <v>61</v>
      </c>
      <c r="O921" s="11">
        <f t="shared" si="28"/>
        <v>3</v>
      </c>
      <c r="P921" s="29">
        <f t="shared" si="29"/>
        <v>5.1724137931034482E-2</v>
      </c>
    </row>
    <row r="922" spans="1:16" x14ac:dyDescent="0.35">
      <c r="A922" s="2" t="s">
        <v>51</v>
      </c>
      <c r="B922" s="2" t="s">
        <v>50</v>
      </c>
      <c r="C922" s="2" t="s">
        <v>37</v>
      </c>
      <c r="D922" s="2" t="s">
        <v>20</v>
      </c>
      <c r="E922" s="2">
        <v>64</v>
      </c>
      <c r="F922" s="2">
        <v>49</v>
      </c>
      <c r="G922" s="2">
        <v>60</v>
      </c>
      <c r="H922" s="2">
        <v>1</v>
      </c>
      <c r="I922" s="2">
        <v>0</v>
      </c>
      <c r="J922" s="2">
        <f>ABS(F922-E922)</f>
        <v>15</v>
      </c>
      <c r="K922" s="29">
        <f>J922/E922</f>
        <v>0.234375</v>
      </c>
      <c r="L922" s="2">
        <f>ABS(G922-E922)</f>
        <v>4</v>
      </c>
      <c r="M922" s="50">
        <f>(L922/E922)</f>
        <v>6.25E-2</v>
      </c>
      <c r="N922" s="2">
        <v>60</v>
      </c>
      <c r="O922" s="11">
        <f t="shared" si="28"/>
        <v>4</v>
      </c>
      <c r="P922" s="29">
        <f t="shared" si="29"/>
        <v>6.25E-2</v>
      </c>
    </row>
    <row r="923" spans="1:16" x14ac:dyDescent="0.35">
      <c r="A923" s="2" t="s">
        <v>51</v>
      </c>
      <c r="B923" s="2" t="s">
        <v>50</v>
      </c>
      <c r="C923" s="2" t="s">
        <v>37</v>
      </c>
      <c r="D923" s="2" t="s">
        <v>21</v>
      </c>
      <c r="E923" s="2">
        <v>70</v>
      </c>
      <c r="F923" s="2">
        <v>66</v>
      </c>
      <c r="G923" s="2">
        <v>68</v>
      </c>
      <c r="H923" s="2">
        <v>0</v>
      </c>
      <c r="I923" s="2">
        <v>0</v>
      </c>
      <c r="J923" s="2">
        <f>ABS(F923-E923)</f>
        <v>4</v>
      </c>
      <c r="K923" s="29">
        <f>J923/E923</f>
        <v>5.7142857142857141E-2</v>
      </c>
      <c r="L923" s="2">
        <f>ABS(G923-E923)</f>
        <v>2</v>
      </c>
      <c r="M923" s="50">
        <f>(L923/E923)</f>
        <v>2.8571428571428571E-2</v>
      </c>
      <c r="N923" s="2">
        <v>69</v>
      </c>
      <c r="O923" s="11">
        <f t="shared" si="28"/>
        <v>1</v>
      </c>
      <c r="P923" s="29">
        <f t="shared" si="29"/>
        <v>1.4285714285714285E-2</v>
      </c>
    </row>
    <row r="924" spans="1:16" x14ac:dyDescent="0.35">
      <c r="A924" s="2" t="s">
        <v>51</v>
      </c>
      <c r="B924" s="2" t="s">
        <v>50</v>
      </c>
      <c r="C924" s="2" t="s">
        <v>37</v>
      </c>
      <c r="D924" s="2" t="s">
        <v>22</v>
      </c>
      <c r="E924" s="2">
        <v>56</v>
      </c>
      <c r="F924" s="2">
        <v>53</v>
      </c>
      <c r="G924" s="2">
        <v>54</v>
      </c>
      <c r="H924" s="2">
        <v>0</v>
      </c>
      <c r="I924" s="2">
        <v>0</v>
      </c>
      <c r="J924" s="2">
        <f>ABS(F924-E924)</f>
        <v>3</v>
      </c>
      <c r="K924" s="29">
        <f>J924/E924</f>
        <v>5.3571428571428568E-2</v>
      </c>
      <c r="L924" s="2">
        <f>ABS(G924-E924)</f>
        <v>2</v>
      </c>
      <c r="M924" s="50">
        <f>(L924/E924)</f>
        <v>3.5714285714285712E-2</v>
      </c>
      <c r="N924" s="2">
        <v>64</v>
      </c>
      <c r="O924" s="11">
        <f t="shared" si="28"/>
        <v>8</v>
      </c>
      <c r="P924" s="29">
        <f t="shared" si="29"/>
        <v>0.14285714285714285</v>
      </c>
    </row>
    <row r="925" spans="1:16" x14ac:dyDescent="0.35">
      <c r="A925" s="2" t="s">
        <v>51</v>
      </c>
      <c r="B925" s="2" t="s">
        <v>50</v>
      </c>
      <c r="C925" s="2" t="s">
        <v>37</v>
      </c>
      <c r="D925" s="2" t="s">
        <v>23</v>
      </c>
      <c r="E925" s="2">
        <v>70</v>
      </c>
      <c r="F925" s="2">
        <v>82</v>
      </c>
      <c r="G925" s="2">
        <v>64</v>
      </c>
      <c r="H925" s="2">
        <v>1</v>
      </c>
      <c r="I925" s="2">
        <v>0</v>
      </c>
      <c r="J925" s="2">
        <f>ABS(F925-E925)</f>
        <v>12</v>
      </c>
      <c r="K925" s="29">
        <f>J925/E925</f>
        <v>0.17142857142857143</v>
      </c>
      <c r="L925" s="2">
        <f>ABS(G925-E925)</f>
        <v>6</v>
      </c>
      <c r="M925" s="50">
        <f>(L925/E925)</f>
        <v>8.5714285714285715E-2</v>
      </c>
      <c r="N925" s="2">
        <v>80</v>
      </c>
      <c r="O925" s="11">
        <f t="shared" si="28"/>
        <v>10</v>
      </c>
      <c r="P925" s="29">
        <f t="shared" si="29"/>
        <v>0.14285714285714285</v>
      </c>
    </row>
    <row r="926" spans="1:16" x14ac:dyDescent="0.35">
      <c r="A926" s="2" t="s">
        <v>51</v>
      </c>
      <c r="B926" s="2" t="s">
        <v>50</v>
      </c>
      <c r="C926" s="2" t="s">
        <v>37</v>
      </c>
      <c r="D926" s="2" t="s">
        <v>24</v>
      </c>
      <c r="E926" s="2">
        <v>95</v>
      </c>
      <c r="F926" s="2">
        <v>101</v>
      </c>
      <c r="G926" s="2">
        <v>91</v>
      </c>
      <c r="H926" s="2">
        <v>1</v>
      </c>
      <c r="I926" s="2">
        <v>0</v>
      </c>
      <c r="J926" s="2">
        <f>ABS(F926-E926)</f>
        <v>6</v>
      </c>
      <c r="K926" s="29">
        <f>J926/E926</f>
        <v>6.3157894736842107E-2</v>
      </c>
      <c r="L926" s="2">
        <f>ABS(G926-E926)</f>
        <v>4</v>
      </c>
      <c r="M926" s="50">
        <f>(L926/E926)</f>
        <v>4.2105263157894736E-2</v>
      </c>
      <c r="N926" s="2">
        <v>96</v>
      </c>
      <c r="O926" s="11">
        <f t="shared" si="28"/>
        <v>1</v>
      </c>
      <c r="P926" s="29">
        <f t="shared" si="29"/>
        <v>1.0526315789473684E-2</v>
      </c>
    </row>
    <row r="927" spans="1:16" x14ac:dyDescent="0.35">
      <c r="A927" s="2" t="s">
        <v>51</v>
      </c>
      <c r="B927" s="2" t="s">
        <v>50</v>
      </c>
      <c r="C927" s="2" t="s">
        <v>37</v>
      </c>
      <c r="D927" s="2" t="s">
        <v>25</v>
      </c>
      <c r="E927" s="2">
        <v>93</v>
      </c>
      <c r="F927" s="2">
        <v>104</v>
      </c>
      <c r="G927" s="2">
        <v>95</v>
      </c>
      <c r="H927" s="2">
        <v>0</v>
      </c>
      <c r="I927" s="2">
        <v>0</v>
      </c>
      <c r="J927" s="2">
        <f>ABS(F927-E927)</f>
        <v>11</v>
      </c>
      <c r="K927" s="29">
        <f>J927/E927</f>
        <v>0.11827956989247312</v>
      </c>
      <c r="L927" s="2">
        <f>ABS(G927-E927)</f>
        <v>2</v>
      </c>
      <c r="M927" s="50">
        <f>(L927/E927)</f>
        <v>2.1505376344086023E-2</v>
      </c>
      <c r="N927" s="2">
        <v>97</v>
      </c>
      <c r="O927" s="11">
        <f t="shared" si="28"/>
        <v>4</v>
      </c>
      <c r="P927" s="29">
        <f t="shared" si="29"/>
        <v>4.3010752688172046E-2</v>
      </c>
    </row>
    <row r="928" spans="1:16" x14ac:dyDescent="0.35">
      <c r="A928" s="2" t="s">
        <v>51</v>
      </c>
      <c r="B928" s="2" t="s">
        <v>50</v>
      </c>
      <c r="C928" s="2" t="s">
        <v>37</v>
      </c>
      <c r="D928" s="2" t="s">
        <v>26</v>
      </c>
      <c r="E928" s="2">
        <v>79</v>
      </c>
      <c r="F928" s="2">
        <v>74</v>
      </c>
      <c r="G928" s="2">
        <v>83</v>
      </c>
      <c r="H928" s="2">
        <v>0</v>
      </c>
      <c r="I928" s="2">
        <v>0</v>
      </c>
      <c r="J928" s="2">
        <f>ABS(F928-E928)</f>
        <v>5</v>
      </c>
      <c r="K928" s="29">
        <f>J928/E928</f>
        <v>6.3291139240506333E-2</v>
      </c>
      <c r="L928" s="2">
        <f>ABS(G928-E928)</f>
        <v>4</v>
      </c>
      <c r="M928" s="50">
        <f>(L928/E928)</f>
        <v>5.0632911392405063E-2</v>
      </c>
      <c r="N928" s="2">
        <v>83</v>
      </c>
      <c r="O928" s="11">
        <f t="shared" si="28"/>
        <v>4</v>
      </c>
      <c r="P928" s="29">
        <f t="shared" si="29"/>
        <v>5.0632911392405063E-2</v>
      </c>
    </row>
    <row r="929" spans="1:16" x14ac:dyDescent="0.35">
      <c r="A929" s="2" t="s">
        <v>51</v>
      </c>
      <c r="B929" s="2" t="s">
        <v>50</v>
      </c>
      <c r="C929" s="2" t="s">
        <v>37</v>
      </c>
      <c r="D929" s="2" t="s">
        <v>27</v>
      </c>
      <c r="E929" s="2">
        <v>77</v>
      </c>
      <c r="F929" s="2">
        <v>66</v>
      </c>
      <c r="G929" s="2">
        <v>73</v>
      </c>
      <c r="H929" s="2">
        <v>0</v>
      </c>
      <c r="I929" s="2">
        <v>0</v>
      </c>
      <c r="J929" s="2">
        <f>ABS(F929-E929)</f>
        <v>11</v>
      </c>
      <c r="K929" s="29">
        <f>J929/E929</f>
        <v>0.14285714285714285</v>
      </c>
      <c r="L929" s="2">
        <f>ABS(G929-E929)</f>
        <v>4</v>
      </c>
      <c r="M929" s="50">
        <f>(L929/E929)</f>
        <v>5.1948051948051951E-2</v>
      </c>
      <c r="N929" s="2">
        <v>73</v>
      </c>
      <c r="O929" s="11">
        <f t="shared" si="28"/>
        <v>4</v>
      </c>
      <c r="P929" s="29">
        <f t="shared" si="29"/>
        <v>5.1948051948051951E-2</v>
      </c>
    </row>
    <row r="930" spans="1:16" x14ac:dyDescent="0.35">
      <c r="A930" s="2" t="s">
        <v>51</v>
      </c>
      <c r="B930" s="2" t="s">
        <v>50</v>
      </c>
      <c r="C930" s="2" t="s">
        <v>37</v>
      </c>
      <c r="D930" s="2" t="s">
        <v>28</v>
      </c>
      <c r="E930" s="2">
        <v>77</v>
      </c>
      <c r="F930" s="2">
        <v>79</v>
      </c>
      <c r="G930" s="2">
        <v>71</v>
      </c>
      <c r="H930" s="2">
        <v>0</v>
      </c>
      <c r="I930" s="2">
        <v>0</v>
      </c>
      <c r="J930" s="2">
        <f>ABS(F930-E930)</f>
        <v>2</v>
      </c>
      <c r="K930" s="29">
        <f>J930/E930</f>
        <v>2.5974025974025976E-2</v>
      </c>
      <c r="L930" s="2">
        <f>ABS(G930-E930)</f>
        <v>6</v>
      </c>
      <c r="M930" s="50">
        <f>(L930/E930)</f>
        <v>7.792207792207792E-2</v>
      </c>
      <c r="N930" s="2">
        <v>78</v>
      </c>
      <c r="O930" s="11">
        <f t="shared" si="28"/>
        <v>1</v>
      </c>
      <c r="P930" s="29">
        <f t="shared" si="29"/>
        <v>1.2987012987012988E-2</v>
      </c>
    </row>
    <row r="931" spans="1:16" x14ac:dyDescent="0.35">
      <c r="A931" s="2" t="s">
        <v>51</v>
      </c>
      <c r="B931" s="2" t="s">
        <v>50</v>
      </c>
      <c r="C931" s="2" t="s">
        <v>37</v>
      </c>
      <c r="D931" s="2" t="s">
        <v>29</v>
      </c>
      <c r="E931" s="2">
        <v>32</v>
      </c>
      <c r="F931" s="2">
        <v>28</v>
      </c>
      <c r="G931" s="2">
        <v>33</v>
      </c>
      <c r="H931" s="2">
        <v>1</v>
      </c>
      <c r="I931" s="2">
        <v>1</v>
      </c>
      <c r="J931" s="2">
        <f>ABS(F931-E931)</f>
        <v>4</v>
      </c>
      <c r="K931" s="29">
        <f>J931/E931</f>
        <v>0.125</v>
      </c>
      <c r="L931" s="2">
        <f>ABS(G931-E931)</f>
        <v>1</v>
      </c>
      <c r="M931" s="50">
        <f>(L931/E931)</f>
        <v>3.125E-2</v>
      </c>
      <c r="N931" s="2">
        <v>35</v>
      </c>
      <c r="O931" s="11">
        <f t="shared" si="28"/>
        <v>3</v>
      </c>
      <c r="P931" s="29">
        <f t="shared" si="29"/>
        <v>9.375E-2</v>
      </c>
    </row>
    <row r="932" spans="1:16" x14ac:dyDescent="0.35">
      <c r="A932" s="2" t="s">
        <v>51</v>
      </c>
      <c r="B932" s="2" t="s">
        <v>50</v>
      </c>
      <c r="C932" s="2" t="s">
        <v>37</v>
      </c>
      <c r="D932" s="2" t="s">
        <v>30</v>
      </c>
      <c r="E932" s="2">
        <v>70</v>
      </c>
      <c r="F932" s="2">
        <v>55</v>
      </c>
      <c r="G932" s="2">
        <v>71</v>
      </c>
      <c r="H932" s="2">
        <v>0</v>
      </c>
      <c r="I932" s="2">
        <v>0</v>
      </c>
      <c r="J932" s="2">
        <f>ABS(F932-E932)</f>
        <v>15</v>
      </c>
      <c r="K932" s="29">
        <f>J932/E932</f>
        <v>0.21428571428571427</v>
      </c>
      <c r="L932" s="2">
        <f>ABS(G932-E932)</f>
        <v>1</v>
      </c>
      <c r="M932" s="50">
        <f>(L932/E932)</f>
        <v>1.4285714285714285E-2</v>
      </c>
      <c r="N932" s="2">
        <v>63</v>
      </c>
      <c r="O932" s="11">
        <f t="shared" si="28"/>
        <v>7</v>
      </c>
      <c r="P932" s="29">
        <f t="shared" si="29"/>
        <v>0.1</v>
      </c>
    </row>
    <row r="933" spans="1:16" x14ac:dyDescent="0.35">
      <c r="A933" s="2" t="s">
        <v>51</v>
      </c>
      <c r="B933" s="2" t="s">
        <v>50</v>
      </c>
      <c r="C933" s="2" t="s">
        <v>37</v>
      </c>
      <c r="D933" s="2" t="s">
        <v>31</v>
      </c>
      <c r="E933" s="2">
        <v>66</v>
      </c>
      <c r="F933" s="2">
        <v>56</v>
      </c>
      <c r="G933" s="2">
        <v>69</v>
      </c>
      <c r="H933" s="2">
        <v>1</v>
      </c>
      <c r="I933" s="2">
        <v>0</v>
      </c>
      <c r="J933" s="2">
        <f>ABS(F933-E933)</f>
        <v>10</v>
      </c>
      <c r="K933" s="29">
        <f>J933/E933</f>
        <v>0.15151515151515152</v>
      </c>
      <c r="L933" s="2">
        <f>ABS(G933-E933)</f>
        <v>3</v>
      </c>
      <c r="M933" s="50">
        <f>(L933/E933)</f>
        <v>4.5454545454545456E-2</v>
      </c>
      <c r="N933" s="2">
        <v>62</v>
      </c>
      <c r="O933" s="11">
        <f t="shared" si="28"/>
        <v>4</v>
      </c>
      <c r="P933" s="29">
        <f t="shared" si="29"/>
        <v>6.0606060606060608E-2</v>
      </c>
    </row>
    <row r="934" spans="1:16" x14ac:dyDescent="0.35">
      <c r="A934" s="2" t="s">
        <v>51</v>
      </c>
      <c r="B934" s="2" t="s">
        <v>50</v>
      </c>
      <c r="C934" s="2" t="s">
        <v>37</v>
      </c>
      <c r="D934" s="2" t="s">
        <v>32</v>
      </c>
      <c r="E934" s="2">
        <v>62</v>
      </c>
      <c r="F934" s="2">
        <v>59</v>
      </c>
      <c r="G934" s="2">
        <v>65</v>
      </c>
      <c r="H934" s="2">
        <v>0</v>
      </c>
      <c r="I934" s="2">
        <v>0</v>
      </c>
      <c r="J934" s="2">
        <f>ABS(F934-E934)</f>
        <v>3</v>
      </c>
      <c r="K934" s="29">
        <f>J934/E934</f>
        <v>4.8387096774193547E-2</v>
      </c>
      <c r="L934" s="2">
        <f>ABS(G934-E934)</f>
        <v>3</v>
      </c>
      <c r="M934" s="50">
        <f>(L934/E934)</f>
        <v>4.8387096774193547E-2</v>
      </c>
      <c r="N934" s="2">
        <v>62</v>
      </c>
      <c r="O934" s="11">
        <f t="shared" si="28"/>
        <v>0</v>
      </c>
      <c r="P934" s="29">
        <f t="shared" si="29"/>
        <v>0</v>
      </c>
    </row>
    <row r="935" spans="1:16" x14ac:dyDescent="0.35">
      <c r="A935" s="2" t="s">
        <v>51</v>
      </c>
      <c r="B935" s="2" t="s">
        <v>50</v>
      </c>
      <c r="C935" s="2" t="s">
        <v>37</v>
      </c>
      <c r="D935" s="2" t="s">
        <v>33</v>
      </c>
      <c r="E935" s="2">
        <v>57</v>
      </c>
      <c r="F935" s="2">
        <v>51</v>
      </c>
      <c r="G935" s="2">
        <v>59</v>
      </c>
      <c r="H935" s="2">
        <v>1</v>
      </c>
      <c r="I935" s="2">
        <v>0</v>
      </c>
      <c r="J935" s="2">
        <f>ABS(F935-E935)</f>
        <v>6</v>
      </c>
      <c r="K935" s="29">
        <f>J935/E935</f>
        <v>0.10526315789473684</v>
      </c>
      <c r="L935" s="2">
        <f>ABS(G935-E935)</f>
        <v>2</v>
      </c>
      <c r="M935" s="50">
        <f>(L935/E935)</f>
        <v>3.5087719298245612E-2</v>
      </c>
      <c r="N935" s="2">
        <v>59</v>
      </c>
      <c r="O935" s="11">
        <f t="shared" si="28"/>
        <v>2</v>
      </c>
      <c r="P935" s="29">
        <f t="shared" si="29"/>
        <v>3.5087719298245612E-2</v>
      </c>
    </row>
    <row r="936" spans="1:16" x14ac:dyDescent="0.35">
      <c r="A936" s="2" t="s">
        <v>51</v>
      </c>
      <c r="B936" s="2" t="s">
        <v>50</v>
      </c>
      <c r="C936" s="2" t="s">
        <v>37</v>
      </c>
      <c r="D936" s="2" t="s">
        <v>34</v>
      </c>
      <c r="E936" s="2">
        <v>74</v>
      </c>
      <c r="F936" s="2">
        <v>63</v>
      </c>
      <c r="G936" s="2">
        <v>76</v>
      </c>
      <c r="H936" s="2">
        <v>0</v>
      </c>
      <c r="I936" s="2">
        <v>0</v>
      </c>
      <c r="J936" s="2">
        <f>ABS(F936-E936)</f>
        <v>11</v>
      </c>
      <c r="K936" s="29">
        <f>J936/E936</f>
        <v>0.14864864864864866</v>
      </c>
      <c r="L936" s="2">
        <f>ABS(G936-E936)</f>
        <v>2</v>
      </c>
      <c r="M936" s="50">
        <f>(L936/E936)</f>
        <v>2.7027027027027029E-2</v>
      </c>
      <c r="N936" s="2">
        <v>70</v>
      </c>
      <c r="O936" s="11">
        <f t="shared" si="28"/>
        <v>4</v>
      </c>
      <c r="P936" s="29">
        <f t="shared" si="29"/>
        <v>5.4054054054054057E-2</v>
      </c>
    </row>
    <row r="937" spans="1:16" x14ac:dyDescent="0.35">
      <c r="A937" s="2" t="s">
        <v>51</v>
      </c>
      <c r="B937" s="2" t="s">
        <v>50</v>
      </c>
      <c r="C937" s="2" t="s">
        <v>37</v>
      </c>
      <c r="D937" s="2" t="s">
        <v>35</v>
      </c>
      <c r="E937" s="2">
        <v>79</v>
      </c>
      <c r="F937" s="2">
        <v>63</v>
      </c>
      <c r="G937" s="2">
        <v>80</v>
      </c>
      <c r="H937" s="2">
        <v>0</v>
      </c>
      <c r="I937" s="2">
        <v>0</v>
      </c>
      <c r="J937" s="2">
        <f>ABS(F937-E937)</f>
        <v>16</v>
      </c>
      <c r="K937" s="29">
        <f>J937/E937</f>
        <v>0.20253164556962025</v>
      </c>
      <c r="L937" s="2">
        <f>ABS(G937-E937)</f>
        <v>1</v>
      </c>
      <c r="M937" s="50">
        <f>(L937/E937)</f>
        <v>1.2658227848101266E-2</v>
      </c>
      <c r="N937" s="2">
        <v>70</v>
      </c>
      <c r="O937" s="11">
        <f t="shared" si="28"/>
        <v>9</v>
      </c>
      <c r="P937" s="29">
        <f t="shared" si="29"/>
        <v>0.11392405063291139</v>
      </c>
    </row>
    <row r="938" spans="1:16" x14ac:dyDescent="0.35">
      <c r="A938" s="2" t="s">
        <v>51</v>
      </c>
      <c r="B938" s="2" t="s">
        <v>50</v>
      </c>
      <c r="C938" s="2" t="s">
        <v>38</v>
      </c>
      <c r="D938" s="2" t="s">
        <v>12</v>
      </c>
      <c r="E938" s="2">
        <v>58</v>
      </c>
      <c r="F938" s="2">
        <v>49</v>
      </c>
      <c r="G938" s="2">
        <v>56</v>
      </c>
      <c r="H938" s="2">
        <v>0</v>
      </c>
      <c r="I938" s="2">
        <v>0</v>
      </c>
      <c r="J938" s="2">
        <f>ABS(F938-E938)</f>
        <v>9</v>
      </c>
      <c r="K938" s="29">
        <f>J938/E938</f>
        <v>0.15517241379310345</v>
      </c>
      <c r="L938" s="2">
        <f>ABS(G938-E938)</f>
        <v>2</v>
      </c>
      <c r="M938" s="50">
        <f>(L938/E938)</f>
        <v>3.4482758620689655E-2</v>
      </c>
      <c r="N938" s="2">
        <v>59</v>
      </c>
      <c r="O938" s="11">
        <f t="shared" si="28"/>
        <v>1</v>
      </c>
      <c r="P938" s="29">
        <f t="shared" si="29"/>
        <v>1.7241379310344827E-2</v>
      </c>
    </row>
    <row r="939" spans="1:16" x14ac:dyDescent="0.35">
      <c r="A939" s="2" t="s">
        <v>51</v>
      </c>
      <c r="B939" s="2" t="s">
        <v>50</v>
      </c>
      <c r="C939" s="2" t="s">
        <v>38</v>
      </c>
      <c r="D939" s="2" t="s">
        <v>13</v>
      </c>
      <c r="E939" s="2">
        <v>71</v>
      </c>
      <c r="F939" s="2">
        <v>72</v>
      </c>
      <c r="G939" s="2">
        <v>70</v>
      </c>
      <c r="H939" s="2">
        <v>0</v>
      </c>
      <c r="I939" s="2">
        <v>0</v>
      </c>
      <c r="J939" s="2">
        <f>ABS(F939-E939)</f>
        <v>1</v>
      </c>
      <c r="K939" s="29">
        <f>J939/E939</f>
        <v>1.4084507042253521E-2</v>
      </c>
      <c r="L939" s="2">
        <f>ABS(G939-E939)</f>
        <v>1</v>
      </c>
      <c r="M939" s="50">
        <f>(L939/E939)</f>
        <v>1.4084507042253521E-2</v>
      </c>
      <c r="N939" s="2">
        <v>74</v>
      </c>
      <c r="O939" s="11">
        <f t="shared" si="28"/>
        <v>3</v>
      </c>
      <c r="P939" s="29">
        <f t="shared" si="29"/>
        <v>4.2253521126760563E-2</v>
      </c>
    </row>
    <row r="940" spans="1:16" x14ac:dyDescent="0.35">
      <c r="A940" s="2" t="s">
        <v>51</v>
      </c>
      <c r="B940" s="2" t="s">
        <v>50</v>
      </c>
      <c r="C940" s="2" t="s">
        <v>38</v>
      </c>
      <c r="D940" s="2" t="s">
        <v>14</v>
      </c>
      <c r="E940" s="2">
        <v>61</v>
      </c>
      <c r="F940" s="2">
        <v>55</v>
      </c>
      <c r="G940" s="2">
        <v>55</v>
      </c>
      <c r="H940" s="2">
        <v>0</v>
      </c>
      <c r="I940" s="2">
        <v>0</v>
      </c>
      <c r="J940" s="2">
        <f>ABS(F940-E940)</f>
        <v>6</v>
      </c>
      <c r="K940" s="29">
        <f>J940/E940</f>
        <v>9.8360655737704916E-2</v>
      </c>
      <c r="L940" s="2">
        <f>ABS(G940-E940)</f>
        <v>6</v>
      </c>
      <c r="M940" s="50">
        <f>(L940/E940)</f>
        <v>9.8360655737704916E-2</v>
      </c>
      <c r="N940" s="2">
        <v>62</v>
      </c>
      <c r="O940" s="11">
        <f t="shared" si="28"/>
        <v>1</v>
      </c>
      <c r="P940" s="29">
        <f t="shared" si="29"/>
        <v>1.6393442622950821E-2</v>
      </c>
    </row>
    <row r="941" spans="1:16" x14ac:dyDescent="0.35">
      <c r="A941" s="2" t="s">
        <v>51</v>
      </c>
      <c r="B941" s="2" t="s">
        <v>50</v>
      </c>
      <c r="C941" s="2" t="s">
        <v>38</v>
      </c>
      <c r="D941" s="2" t="s">
        <v>15</v>
      </c>
      <c r="E941" s="2">
        <v>63</v>
      </c>
      <c r="F941" s="2">
        <v>67</v>
      </c>
      <c r="G941" s="2">
        <v>58</v>
      </c>
      <c r="H941" s="2">
        <v>0</v>
      </c>
      <c r="I941" s="2">
        <v>0</v>
      </c>
      <c r="J941" s="2">
        <f>ABS(F941-E941)</f>
        <v>4</v>
      </c>
      <c r="K941" s="29">
        <f>J941/E941</f>
        <v>6.3492063492063489E-2</v>
      </c>
      <c r="L941" s="2">
        <f>ABS(G941-E941)</f>
        <v>5</v>
      </c>
      <c r="M941" s="50">
        <f>(L941/E941)</f>
        <v>7.9365079365079361E-2</v>
      </c>
      <c r="N941" s="2">
        <v>64</v>
      </c>
      <c r="O941" s="11">
        <f t="shared" si="28"/>
        <v>1</v>
      </c>
      <c r="P941" s="29">
        <f t="shared" si="29"/>
        <v>1.5873015873015872E-2</v>
      </c>
    </row>
    <row r="942" spans="1:16" x14ac:dyDescent="0.35">
      <c r="A942" s="2" t="s">
        <v>51</v>
      </c>
      <c r="B942" s="2" t="s">
        <v>50</v>
      </c>
      <c r="C942" s="2" t="s">
        <v>38</v>
      </c>
      <c r="D942" s="2" t="s">
        <v>16</v>
      </c>
      <c r="E942" s="2">
        <v>51</v>
      </c>
      <c r="F942" s="2">
        <v>60</v>
      </c>
      <c r="G942" s="2">
        <v>50</v>
      </c>
      <c r="H942" s="2">
        <v>0</v>
      </c>
      <c r="I942" s="2">
        <v>0</v>
      </c>
      <c r="J942" s="2">
        <f>ABS(F942-E942)</f>
        <v>9</v>
      </c>
      <c r="K942" s="29">
        <f>J942/E942</f>
        <v>0.17647058823529413</v>
      </c>
      <c r="L942" s="2">
        <f>ABS(G942-E942)</f>
        <v>1</v>
      </c>
      <c r="M942" s="50">
        <f>(L942/E942)</f>
        <v>1.9607843137254902E-2</v>
      </c>
      <c r="N942" s="2">
        <v>57</v>
      </c>
      <c r="O942" s="11">
        <f t="shared" si="28"/>
        <v>6</v>
      </c>
      <c r="P942" s="29">
        <f t="shared" si="29"/>
        <v>0.11764705882352941</v>
      </c>
    </row>
    <row r="943" spans="1:16" x14ac:dyDescent="0.35">
      <c r="A943" s="2" t="s">
        <v>51</v>
      </c>
      <c r="B943" s="2" t="s">
        <v>50</v>
      </c>
      <c r="C943" s="2" t="s">
        <v>38</v>
      </c>
      <c r="D943" s="2" t="s">
        <v>17</v>
      </c>
      <c r="E943" s="2">
        <v>49</v>
      </c>
      <c r="F943" s="2">
        <v>44</v>
      </c>
      <c r="G943" s="2">
        <v>50</v>
      </c>
      <c r="H943" s="2">
        <v>1</v>
      </c>
      <c r="I943" s="2">
        <v>0</v>
      </c>
      <c r="J943" s="2">
        <f>ABS(F943-E943)</f>
        <v>5</v>
      </c>
      <c r="K943" s="29">
        <f>J943/E943</f>
        <v>0.10204081632653061</v>
      </c>
      <c r="L943" s="2">
        <f>ABS(G943-E943)</f>
        <v>1</v>
      </c>
      <c r="M943" s="50">
        <f>(L943/E943)</f>
        <v>2.0408163265306121E-2</v>
      </c>
      <c r="N943" s="2">
        <v>46</v>
      </c>
      <c r="O943" s="11">
        <f t="shared" si="28"/>
        <v>3</v>
      </c>
      <c r="P943" s="29">
        <f t="shared" si="29"/>
        <v>6.1224489795918366E-2</v>
      </c>
    </row>
    <row r="944" spans="1:16" x14ac:dyDescent="0.35">
      <c r="A944" s="2" t="s">
        <v>51</v>
      </c>
      <c r="B944" s="2" t="s">
        <v>50</v>
      </c>
      <c r="C944" s="2" t="s">
        <v>38</v>
      </c>
      <c r="D944" s="2" t="s">
        <v>18</v>
      </c>
      <c r="E944" s="2">
        <v>46</v>
      </c>
      <c r="F944" s="2">
        <v>50</v>
      </c>
      <c r="G944" s="2">
        <v>43</v>
      </c>
      <c r="H944" s="2">
        <v>1</v>
      </c>
      <c r="I944" s="2">
        <v>0</v>
      </c>
      <c r="J944" s="2">
        <f>ABS(F944-E944)</f>
        <v>4</v>
      </c>
      <c r="K944" s="29">
        <f>J944/E944</f>
        <v>8.6956521739130432E-2</v>
      </c>
      <c r="L944" s="2">
        <f>ABS(G944-E944)</f>
        <v>3</v>
      </c>
      <c r="M944" s="50">
        <f>(L944/E944)</f>
        <v>6.5217391304347824E-2</v>
      </c>
      <c r="N944" s="2">
        <v>53</v>
      </c>
      <c r="O944" s="11">
        <f t="shared" si="28"/>
        <v>7</v>
      </c>
      <c r="P944" s="29">
        <f t="shared" si="29"/>
        <v>0.15217391304347827</v>
      </c>
    </row>
    <row r="945" spans="1:16" x14ac:dyDescent="0.35">
      <c r="A945" s="2" t="s">
        <v>51</v>
      </c>
      <c r="B945" s="2" t="s">
        <v>50</v>
      </c>
      <c r="C945" s="2" t="s">
        <v>38</v>
      </c>
      <c r="D945" s="2" t="s">
        <v>19</v>
      </c>
      <c r="E945" s="2">
        <v>19</v>
      </c>
      <c r="F945" s="2">
        <v>18</v>
      </c>
      <c r="G945" s="2">
        <v>18</v>
      </c>
      <c r="H945" s="2">
        <v>0</v>
      </c>
      <c r="I945" s="2">
        <v>1</v>
      </c>
      <c r="J945" s="2">
        <f>ABS(F945-E945)</f>
        <v>1</v>
      </c>
      <c r="K945" s="29">
        <f>J945/E945</f>
        <v>5.2631578947368418E-2</v>
      </c>
      <c r="L945" s="2">
        <f>ABS(G945-E945)</f>
        <v>1</v>
      </c>
      <c r="M945" s="50">
        <f>(L945/E945)</f>
        <v>5.2631578947368418E-2</v>
      </c>
      <c r="N945" s="2">
        <v>33</v>
      </c>
      <c r="O945" s="11">
        <f t="shared" si="28"/>
        <v>14</v>
      </c>
      <c r="P945" s="29">
        <f t="shared" si="29"/>
        <v>0.73684210526315785</v>
      </c>
    </row>
    <row r="946" spans="1:16" x14ac:dyDescent="0.35">
      <c r="A946" s="2" t="s">
        <v>51</v>
      </c>
      <c r="B946" s="2" t="s">
        <v>50</v>
      </c>
      <c r="C946" s="2" t="s">
        <v>38</v>
      </c>
      <c r="D946" s="2" t="s">
        <v>20</v>
      </c>
      <c r="E946" s="2">
        <v>50</v>
      </c>
      <c r="F946" s="2">
        <v>50</v>
      </c>
      <c r="G946" s="2">
        <v>51</v>
      </c>
      <c r="H946" s="2">
        <v>0</v>
      </c>
      <c r="I946" s="2">
        <v>0</v>
      </c>
      <c r="J946" s="2">
        <f>ABS(F946-E946)</f>
        <v>0</v>
      </c>
      <c r="K946" s="29">
        <f>J946/E946</f>
        <v>0</v>
      </c>
      <c r="L946" s="2">
        <f>ABS(G946-E946)</f>
        <v>1</v>
      </c>
      <c r="M946" s="50">
        <f>(L946/E946)</f>
        <v>0.02</v>
      </c>
      <c r="N946" s="2">
        <v>53</v>
      </c>
      <c r="O946" s="11">
        <f t="shared" si="28"/>
        <v>3</v>
      </c>
      <c r="P946" s="29">
        <f t="shared" si="29"/>
        <v>0.06</v>
      </c>
    </row>
    <row r="947" spans="1:16" x14ac:dyDescent="0.35">
      <c r="A947" s="2" t="s">
        <v>51</v>
      </c>
      <c r="B947" s="2" t="s">
        <v>50</v>
      </c>
      <c r="C947" s="2" t="s">
        <v>38</v>
      </c>
      <c r="D947" s="2" t="s">
        <v>21</v>
      </c>
      <c r="E947" s="2">
        <v>41</v>
      </c>
      <c r="F947" s="2">
        <v>43</v>
      </c>
      <c r="G947" s="2">
        <v>43</v>
      </c>
      <c r="H947" s="2">
        <v>0</v>
      </c>
      <c r="I947" s="2">
        <v>0</v>
      </c>
      <c r="J947" s="2">
        <f>ABS(F947-E947)</f>
        <v>2</v>
      </c>
      <c r="K947" s="29">
        <f>J947/E947</f>
        <v>4.878048780487805E-2</v>
      </c>
      <c r="L947" s="2">
        <f>ABS(G947-E947)</f>
        <v>2</v>
      </c>
      <c r="M947" s="50">
        <f>(L947/E947)</f>
        <v>4.878048780487805E-2</v>
      </c>
      <c r="N947" s="2">
        <v>41</v>
      </c>
      <c r="O947" s="11">
        <f t="shared" si="28"/>
        <v>0</v>
      </c>
      <c r="P947" s="29">
        <f t="shared" si="29"/>
        <v>0</v>
      </c>
    </row>
    <row r="948" spans="1:16" x14ac:dyDescent="0.35">
      <c r="A948" s="2" t="s">
        <v>51</v>
      </c>
      <c r="B948" s="2" t="s">
        <v>50</v>
      </c>
      <c r="C948" s="2" t="s">
        <v>38</v>
      </c>
      <c r="D948" s="2" t="s">
        <v>22</v>
      </c>
      <c r="E948" s="2">
        <v>45</v>
      </c>
      <c r="F948" s="2">
        <v>37</v>
      </c>
      <c r="G948" s="2">
        <v>47</v>
      </c>
      <c r="H948" s="2">
        <v>0</v>
      </c>
      <c r="I948" s="2">
        <v>0</v>
      </c>
      <c r="J948" s="2">
        <f>ABS(F948-E948)</f>
        <v>8</v>
      </c>
      <c r="K948" s="29">
        <f>J948/E948</f>
        <v>0.17777777777777778</v>
      </c>
      <c r="L948" s="2">
        <f>ABS(G948-E948)</f>
        <v>2</v>
      </c>
      <c r="M948" s="50">
        <f>(L948/E948)</f>
        <v>4.4444444444444446E-2</v>
      </c>
      <c r="N948" s="2">
        <v>40</v>
      </c>
      <c r="O948" s="11">
        <f t="shared" si="28"/>
        <v>5</v>
      </c>
      <c r="P948" s="29">
        <f t="shared" si="29"/>
        <v>0.1111111111111111</v>
      </c>
    </row>
    <row r="949" spans="1:16" x14ac:dyDescent="0.35">
      <c r="A949" s="2" t="s">
        <v>51</v>
      </c>
      <c r="B949" s="2" t="s">
        <v>50</v>
      </c>
      <c r="C949" s="2" t="s">
        <v>38</v>
      </c>
      <c r="D949" s="2" t="s">
        <v>23</v>
      </c>
      <c r="E949" s="2">
        <v>49</v>
      </c>
      <c r="F949" s="2">
        <v>61</v>
      </c>
      <c r="G949" s="2">
        <v>49</v>
      </c>
      <c r="H949" s="2">
        <v>1</v>
      </c>
      <c r="I949" s="2">
        <v>0</v>
      </c>
      <c r="J949" s="2">
        <f>ABS(F949-E949)</f>
        <v>12</v>
      </c>
      <c r="K949" s="29">
        <f>J949/E949</f>
        <v>0.24489795918367346</v>
      </c>
      <c r="L949" s="2">
        <f>ABS(G949-E949)</f>
        <v>0</v>
      </c>
      <c r="M949" s="50">
        <f>(L949/E949)</f>
        <v>0</v>
      </c>
      <c r="N949" s="2">
        <v>56</v>
      </c>
      <c r="O949" s="11">
        <f t="shared" si="28"/>
        <v>7</v>
      </c>
      <c r="P949" s="29">
        <f t="shared" si="29"/>
        <v>0.14285714285714285</v>
      </c>
    </row>
    <row r="950" spans="1:16" x14ac:dyDescent="0.35">
      <c r="A950" s="2" t="s">
        <v>51</v>
      </c>
      <c r="B950" s="2" t="s">
        <v>50</v>
      </c>
      <c r="C950" s="2" t="s">
        <v>38</v>
      </c>
      <c r="D950" s="2" t="s">
        <v>24</v>
      </c>
      <c r="E950" s="2">
        <v>55</v>
      </c>
      <c r="F950" s="2">
        <v>46</v>
      </c>
      <c r="G950" s="2">
        <v>59</v>
      </c>
      <c r="H950" s="2">
        <v>1</v>
      </c>
      <c r="I950" s="2">
        <v>0</v>
      </c>
      <c r="J950" s="2">
        <f>ABS(F950-E950)</f>
        <v>9</v>
      </c>
      <c r="K950" s="29">
        <f>J950/E950</f>
        <v>0.16363636363636364</v>
      </c>
      <c r="L950" s="2">
        <f>ABS(G950-E950)</f>
        <v>4</v>
      </c>
      <c r="M950" s="50">
        <f>(L950/E950)</f>
        <v>7.2727272727272724E-2</v>
      </c>
      <c r="N950" s="2">
        <v>54</v>
      </c>
      <c r="O950" s="11">
        <f t="shared" si="28"/>
        <v>1</v>
      </c>
      <c r="P950" s="29">
        <f t="shared" si="29"/>
        <v>1.8181818181818181E-2</v>
      </c>
    </row>
    <row r="951" spans="1:16" x14ac:dyDescent="0.35">
      <c r="A951" s="2" t="s">
        <v>51</v>
      </c>
      <c r="B951" s="2" t="s">
        <v>50</v>
      </c>
      <c r="C951" s="2" t="s">
        <v>38</v>
      </c>
      <c r="D951" s="2" t="s">
        <v>25</v>
      </c>
      <c r="E951" s="2">
        <v>59</v>
      </c>
      <c r="F951" s="2">
        <v>54</v>
      </c>
      <c r="G951" s="2">
        <v>54</v>
      </c>
      <c r="H951" s="2">
        <v>0</v>
      </c>
      <c r="I951" s="2">
        <v>0</v>
      </c>
      <c r="J951" s="2">
        <f>ABS(F951-E951)</f>
        <v>5</v>
      </c>
      <c r="K951" s="29">
        <f>J951/E951</f>
        <v>8.4745762711864403E-2</v>
      </c>
      <c r="L951" s="2">
        <f>ABS(G951-E951)</f>
        <v>5</v>
      </c>
      <c r="M951" s="50">
        <f>(L951/E951)</f>
        <v>8.4745762711864403E-2</v>
      </c>
      <c r="N951" s="2">
        <v>59</v>
      </c>
      <c r="O951" s="11">
        <f t="shared" si="28"/>
        <v>0</v>
      </c>
      <c r="P951" s="29">
        <f t="shared" si="29"/>
        <v>0</v>
      </c>
    </row>
    <row r="952" spans="1:16" x14ac:dyDescent="0.35">
      <c r="A952" s="2" t="s">
        <v>51</v>
      </c>
      <c r="B952" s="2" t="s">
        <v>50</v>
      </c>
      <c r="C952" s="2" t="s">
        <v>38</v>
      </c>
      <c r="D952" s="2" t="s">
        <v>26</v>
      </c>
      <c r="E952" s="2">
        <v>64</v>
      </c>
      <c r="F952" s="2">
        <v>58</v>
      </c>
      <c r="G952" s="2">
        <v>64</v>
      </c>
      <c r="H952" s="2">
        <v>0</v>
      </c>
      <c r="I952" s="2">
        <v>0</v>
      </c>
      <c r="J952" s="2">
        <f>ABS(F952-E952)</f>
        <v>6</v>
      </c>
      <c r="K952" s="29">
        <f>J952/E952</f>
        <v>9.375E-2</v>
      </c>
      <c r="L952" s="2">
        <f>ABS(G952-E952)</f>
        <v>0</v>
      </c>
      <c r="M952" s="50">
        <f>(L952/E952)</f>
        <v>0</v>
      </c>
      <c r="N952" s="2">
        <v>61</v>
      </c>
      <c r="O952" s="11">
        <f t="shared" si="28"/>
        <v>3</v>
      </c>
      <c r="P952" s="29">
        <f t="shared" si="29"/>
        <v>4.6875E-2</v>
      </c>
    </row>
    <row r="953" spans="1:16" x14ac:dyDescent="0.35">
      <c r="A953" s="2" t="s">
        <v>51</v>
      </c>
      <c r="B953" s="2" t="s">
        <v>50</v>
      </c>
      <c r="C953" s="2" t="s">
        <v>38</v>
      </c>
      <c r="D953" s="2" t="s">
        <v>27</v>
      </c>
      <c r="E953" s="2">
        <v>67</v>
      </c>
      <c r="F953" s="2">
        <v>70</v>
      </c>
      <c r="G953" s="2">
        <v>69</v>
      </c>
      <c r="H953" s="2">
        <v>0</v>
      </c>
      <c r="I953" s="2">
        <v>0</v>
      </c>
      <c r="J953" s="2">
        <f>ABS(F953-E953)</f>
        <v>3</v>
      </c>
      <c r="K953" s="29">
        <f>J953/E953</f>
        <v>4.4776119402985072E-2</v>
      </c>
      <c r="L953" s="2">
        <f>ABS(G953-E953)</f>
        <v>2</v>
      </c>
      <c r="M953" s="50">
        <f>(L953/E953)</f>
        <v>2.9850746268656716E-2</v>
      </c>
      <c r="N953" s="2">
        <v>67</v>
      </c>
      <c r="O953" s="11">
        <f t="shared" si="28"/>
        <v>0</v>
      </c>
      <c r="P953" s="29">
        <f t="shared" si="29"/>
        <v>0</v>
      </c>
    </row>
    <row r="954" spans="1:16" x14ac:dyDescent="0.35">
      <c r="A954" s="2" t="s">
        <v>51</v>
      </c>
      <c r="B954" s="2" t="s">
        <v>50</v>
      </c>
      <c r="C954" s="2" t="s">
        <v>38</v>
      </c>
      <c r="D954" s="2" t="s">
        <v>28</v>
      </c>
      <c r="E954" s="2">
        <v>64</v>
      </c>
      <c r="F954" s="2">
        <v>64</v>
      </c>
      <c r="G954" s="2">
        <v>63</v>
      </c>
      <c r="H954" s="2">
        <v>0</v>
      </c>
      <c r="I954" s="2">
        <v>0</v>
      </c>
      <c r="J954" s="2">
        <f>ABS(F954-E954)</f>
        <v>0</v>
      </c>
      <c r="K954" s="29">
        <f>J954/E954</f>
        <v>0</v>
      </c>
      <c r="L954" s="2">
        <f>ABS(G954-E954)</f>
        <v>1</v>
      </c>
      <c r="M954" s="50">
        <f>(L954/E954)</f>
        <v>1.5625E-2</v>
      </c>
      <c r="N954" s="2">
        <v>63</v>
      </c>
      <c r="O954" s="11">
        <f t="shared" si="28"/>
        <v>1</v>
      </c>
      <c r="P954" s="29">
        <f t="shared" si="29"/>
        <v>1.5625E-2</v>
      </c>
    </row>
    <row r="955" spans="1:16" x14ac:dyDescent="0.35">
      <c r="A955" s="2" t="s">
        <v>51</v>
      </c>
      <c r="B955" s="2" t="s">
        <v>50</v>
      </c>
      <c r="C955" s="2" t="s">
        <v>38</v>
      </c>
      <c r="D955" s="2" t="s">
        <v>29</v>
      </c>
      <c r="E955" s="2">
        <v>28</v>
      </c>
      <c r="F955" s="2">
        <v>25</v>
      </c>
      <c r="G955" s="2">
        <v>25</v>
      </c>
      <c r="H955" s="2">
        <v>1</v>
      </c>
      <c r="I955" s="2">
        <v>1</v>
      </c>
      <c r="J955" s="2">
        <f>ABS(F955-E955)</f>
        <v>3</v>
      </c>
      <c r="K955" s="29">
        <f>J955/E955</f>
        <v>0.10714285714285714</v>
      </c>
      <c r="L955" s="2">
        <f>ABS(G955-E955)</f>
        <v>3</v>
      </c>
      <c r="M955" s="50">
        <f>(L955/E955)</f>
        <v>0.10714285714285714</v>
      </c>
      <c r="N955" s="2">
        <v>34</v>
      </c>
      <c r="O955" s="11">
        <f t="shared" si="28"/>
        <v>6</v>
      </c>
      <c r="P955" s="29">
        <f t="shared" si="29"/>
        <v>0.21428571428571427</v>
      </c>
    </row>
    <row r="956" spans="1:16" x14ac:dyDescent="0.35">
      <c r="A956" s="2" t="s">
        <v>51</v>
      </c>
      <c r="B956" s="2" t="s">
        <v>50</v>
      </c>
      <c r="C956" s="2" t="s">
        <v>38</v>
      </c>
      <c r="D956" s="2" t="s">
        <v>30</v>
      </c>
      <c r="E956" s="2">
        <v>51</v>
      </c>
      <c r="F956" s="2">
        <v>52</v>
      </c>
      <c r="G956" s="2">
        <v>53</v>
      </c>
      <c r="H956" s="2">
        <v>1</v>
      </c>
      <c r="I956" s="2">
        <v>0</v>
      </c>
      <c r="J956" s="2">
        <f>ABS(F956-E956)</f>
        <v>1</v>
      </c>
      <c r="K956" s="29">
        <f>J956/E956</f>
        <v>1.9607843137254902E-2</v>
      </c>
      <c r="L956" s="2">
        <f>ABS(G956-E956)</f>
        <v>2</v>
      </c>
      <c r="M956" s="50">
        <f>(L956/E956)</f>
        <v>3.9215686274509803E-2</v>
      </c>
      <c r="N956" s="2">
        <v>52</v>
      </c>
      <c r="O956" s="11">
        <f t="shared" si="28"/>
        <v>1</v>
      </c>
      <c r="P956" s="29">
        <f t="shared" si="29"/>
        <v>1.9607843137254902E-2</v>
      </c>
    </row>
    <row r="957" spans="1:16" x14ac:dyDescent="0.35">
      <c r="A957" s="2" t="s">
        <v>51</v>
      </c>
      <c r="B957" s="2" t="s">
        <v>50</v>
      </c>
      <c r="C957" s="2" t="s">
        <v>38</v>
      </c>
      <c r="D957" s="2" t="s">
        <v>31</v>
      </c>
      <c r="E957" s="2">
        <v>47</v>
      </c>
      <c r="F957" s="2">
        <v>52</v>
      </c>
      <c r="G957" s="2">
        <v>44</v>
      </c>
      <c r="H957" s="2">
        <v>0</v>
      </c>
      <c r="I957" s="2">
        <v>0</v>
      </c>
      <c r="J957" s="2">
        <f>ABS(F957-E957)</f>
        <v>5</v>
      </c>
      <c r="K957" s="29">
        <f>J957/E957</f>
        <v>0.10638297872340426</v>
      </c>
      <c r="L957" s="2">
        <f>ABS(G957-E957)</f>
        <v>3</v>
      </c>
      <c r="M957" s="50">
        <f>(L957/E957)</f>
        <v>6.3829787234042548E-2</v>
      </c>
      <c r="N957" s="2">
        <v>52</v>
      </c>
      <c r="O957" s="11">
        <f t="shared" si="28"/>
        <v>5</v>
      </c>
      <c r="P957" s="29">
        <f t="shared" si="29"/>
        <v>0.10638297872340426</v>
      </c>
    </row>
    <row r="958" spans="1:16" x14ac:dyDescent="0.35">
      <c r="A958" s="2" t="s">
        <v>51</v>
      </c>
      <c r="B958" s="2" t="s">
        <v>50</v>
      </c>
      <c r="C958" s="2" t="s">
        <v>38</v>
      </c>
      <c r="D958" s="2" t="s">
        <v>32</v>
      </c>
      <c r="E958" s="2">
        <v>43</v>
      </c>
      <c r="F958" s="2">
        <v>38</v>
      </c>
      <c r="G958" s="2">
        <v>45</v>
      </c>
      <c r="H958" s="2">
        <v>0</v>
      </c>
      <c r="I958" s="2">
        <v>0</v>
      </c>
      <c r="J958" s="2">
        <f>ABS(F958-E958)</f>
        <v>5</v>
      </c>
      <c r="K958" s="29">
        <f>J958/E958</f>
        <v>0.11627906976744186</v>
      </c>
      <c r="L958" s="2">
        <f>ABS(G958-E958)</f>
        <v>2</v>
      </c>
      <c r="M958" s="50">
        <f>(L958/E958)</f>
        <v>4.6511627906976744E-2</v>
      </c>
      <c r="N958" s="2">
        <v>39</v>
      </c>
      <c r="O958" s="11">
        <f t="shared" si="28"/>
        <v>4</v>
      </c>
      <c r="P958" s="29">
        <f t="shared" si="29"/>
        <v>9.3023255813953487E-2</v>
      </c>
    </row>
    <row r="959" spans="1:16" x14ac:dyDescent="0.35">
      <c r="A959" s="2" t="s">
        <v>51</v>
      </c>
      <c r="B959" s="2" t="s">
        <v>50</v>
      </c>
      <c r="C959" s="2" t="s">
        <v>38</v>
      </c>
      <c r="D959" s="2" t="s">
        <v>33</v>
      </c>
      <c r="E959" s="2">
        <v>42</v>
      </c>
      <c r="F959" s="2">
        <v>36</v>
      </c>
      <c r="G959" s="2">
        <v>42</v>
      </c>
      <c r="H959" s="2">
        <v>0</v>
      </c>
      <c r="I959" s="2">
        <v>0</v>
      </c>
      <c r="J959" s="2">
        <f>ABS(F959-E959)</f>
        <v>6</v>
      </c>
      <c r="K959" s="29">
        <f>J959/E959</f>
        <v>0.14285714285714285</v>
      </c>
      <c r="L959" s="2">
        <f>ABS(G959-E959)</f>
        <v>0</v>
      </c>
      <c r="M959" s="50">
        <f>(L959/E959)</f>
        <v>0</v>
      </c>
      <c r="N959" s="2">
        <v>39</v>
      </c>
      <c r="O959" s="11">
        <f t="shared" si="28"/>
        <v>3</v>
      </c>
      <c r="P959" s="29">
        <f t="shared" si="29"/>
        <v>7.1428571428571425E-2</v>
      </c>
    </row>
    <row r="960" spans="1:16" x14ac:dyDescent="0.35">
      <c r="A960" s="2" t="s">
        <v>51</v>
      </c>
      <c r="B960" s="2" t="s">
        <v>50</v>
      </c>
      <c r="C960" s="2" t="s">
        <v>38</v>
      </c>
      <c r="D960" s="2" t="s">
        <v>34</v>
      </c>
      <c r="E960" s="2">
        <v>55</v>
      </c>
      <c r="F960" s="2">
        <v>50</v>
      </c>
      <c r="G960" s="2">
        <v>51</v>
      </c>
      <c r="H960" s="2">
        <v>1</v>
      </c>
      <c r="I960" s="2">
        <v>0</v>
      </c>
      <c r="J960" s="2">
        <f>ABS(F960-E960)</f>
        <v>5</v>
      </c>
      <c r="K960" s="29">
        <f>J960/E960</f>
        <v>9.0909090909090912E-2</v>
      </c>
      <c r="L960" s="2">
        <f>ABS(G960-E960)</f>
        <v>4</v>
      </c>
      <c r="M960" s="50">
        <f>(L960/E960)</f>
        <v>7.2727272727272724E-2</v>
      </c>
      <c r="N960" s="2">
        <v>53</v>
      </c>
      <c r="O960" s="11">
        <f t="shared" si="28"/>
        <v>2</v>
      </c>
      <c r="P960" s="29">
        <f t="shared" si="29"/>
        <v>3.6363636363636362E-2</v>
      </c>
    </row>
    <row r="961" spans="1:16" x14ac:dyDescent="0.35">
      <c r="A961" s="2" t="s">
        <v>51</v>
      </c>
      <c r="B961" s="2" t="s">
        <v>50</v>
      </c>
      <c r="C961" s="2" t="s">
        <v>38</v>
      </c>
      <c r="D961" s="2" t="s">
        <v>35</v>
      </c>
      <c r="E961" s="2">
        <v>47</v>
      </c>
      <c r="F961" s="2">
        <v>46</v>
      </c>
      <c r="G961" s="2">
        <v>51</v>
      </c>
      <c r="H961" s="2">
        <v>0</v>
      </c>
      <c r="I961" s="2">
        <v>0</v>
      </c>
      <c r="J961" s="2">
        <f>ABS(F961-E961)</f>
        <v>1</v>
      </c>
      <c r="K961" s="29">
        <f>J961/E961</f>
        <v>2.1276595744680851E-2</v>
      </c>
      <c r="L961" s="2">
        <f>ABS(G961-E961)</f>
        <v>4</v>
      </c>
      <c r="M961" s="50">
        <f>(L961/E961)</f>
        <v>8.5106382978723402E-2</v>
      </c>
      <c r="N961" s="2">
        <v>49</v>
      </c>
      <c r="O961" s="11">
        <f t="shared" si="28"/>
        <v>2</v>
      </c>
      <c r="P961" s="29">
        <f t="shared" si="29"/>
        <v>4.2553191489361701E-2</v>
      </c>
    </row>
  </sheetData>
  <sortState xmlns:xlrd2="http://schemas.microsoft.com/office/spreadsheetml/2017/richdata2" ref="A2:P961">
    <sortCondition ref="A2:A961"/>
  </sortState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1896-D01F-4D2A-97AE-23BA8D1F0A0B}">
  <dimension ref="A1:I68"/>
  <sheetViews>
    <sheetView showGridLines="0" topLeftCell="C43" zoomScale="66" workbookViewId="0">
      <selection activeCell="K4" sqref="K4"/>
    </sheetView>
  </sheetViews>
  <sheetFormatPr defaultRowHeight="14.5" x14ac:dyDescent="0.35"/>
  <cols>
    <col min="1" max="1" width="21.1796875" customWidth="1"/>
    <col min="2" max="2" width="18.54296875" customWidth="1"/>
    <col min="3" max="3" width="20.08984375" customWidth="1"/>
    <col min="4" max="4" width="18.90625" customWidth="1"/>
    <col min="5" max="5" width="20.453125" customWidth="1"/>
    <col min="6" max="6" width="19.6328125" customWidth="1"/>
    <col min="7" max="7" width="13.90625" customWidth="1"/>
    <col min="9" max="9" width="8.7265625" customWidth="1"/>
  </cols>
  <sheetData>
    <row r="1" spans="1:9" ht="15.5" x14ac:dyDescent="0.45">
      <c r="A1" s="3" t="s">
        <v>59</v>
      </c>
      <c r="B1" s="4"/>
      <c r="C1" s="4"/>
      <c r="D1" s="4"/>
      <c r="E1" s="5"/>
      <c r="F1" s="5"/>
      <c r="G1" s="5"/>
      <c r="H1" s="5"/>
      <c r="I1" s="6"/>
    </row>
    <row r="2" spans="1:9" ht="17.5" customHeight="1" x14ac:dyDescent="0.35"/>
    <row r="3" spans="1:9" x14ac:dyDescent="0.35">
      <c r="A3" s="8" t="s">
        <v>7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10" t="s">
        <v>65</v>
      </c>
    </row>
    <row r="4" spans="1:9" x14ac:dyDescent="0.35">
      <c r="A4" s="14">
        <v>0</v>
      </c>
      <c r="B4" s="15">
        <f>AVERAGEIF(Calculations!H:H,A4,Calculations!K:K)</f>
        <v>0.1143427561752295</v>
      </c>
      <c r="C4" s="15">
        <f>AVERAGEIF(Calculations!H:H,A4,Calculations!M:M)</f>
        <v>4.3102823857086192E-2</v>
      </c>
      <c r="D4" s="15">
        <f>SUMIF(Calculations!H:H,A4,Calculations!J:J)/SUMIF(Calculations!H:H,A4,Calculations!E:E)</f>
        <v>0.1189755280874862</v>
      </c>
      <c r="E4" s="15">
        <f>SUMIF(Calculations!H:H,A4,Calculations!L:L)/SUMIF(Calculations!H:H,A4,Calculations!E:E)</f>
        <v>4.3018796233628989E-2</v>
      </c>
      <c r="F4" s="15">
        <f>AVERAGEIF(Calculations!H:H,A4,Calculations!E:E)</f>
        <v>116.64681440443213</v>
      </c>
      <c r="G4" s="16">
        <f>COUNTIF(Calculations!H:H,A4)</f>
        <v>722</v>
      </c>
    </row>
    <row r="5" spans="1:9" x14ac:dyDescent="0.35">
      <c r="A5" s="17">
        <v>1</v>
      </c>
      <c r="B5" s="18">
        <f>AVERAGEIF(Calculations!H:H,A5,Calculations!K:K)</f>
        <v>0.12614780341353696</v>
      </c>
      <c r="C5" s="18">
        <f>AVERAGEIF(Calculations!H:H,A5,Calculations!M:M)</f>
        <v>4.4522123714606364E-2</v>
      </c>
      <c r="D5" s="18">
        <f>SUMIF(Calculations!H:H,A5,Calculations!J:J)/SUMIF(Calculations!H:H,A5,Calculations!E:E)</f>
        <v>0.12507192174913695</v>
      </c>
      <c r="E5" s="18">
        <f>SUMIF(Calculations!H:H,A5,Calculations!L:L)/SUMIF(Calculations!H:H,A5,Calculations!E:E)</f>
        <v>4.5742232451093212E-2</v>
      </c>
      <c r="F5" s="18">
        <f>AVERAGEIF(Calculations!H:H,A5,Calculations!E:E)</f>
        <v>116.84033613445378</v>
      </c>
      <c r="G5" s="19">
        <f>COUNTIF(Calculations!H:H,A5)</f>
        <v>238</v>
      </c>
    </row>
    <row r="7" spans="1:9" ht="15" customHeight="1" x14ac:dyDescent="0.35"/>
    <row r="8" spans="1:9" x14ac:dyDescent="0.35">
      <c r="A8" s="7" t="s">
        <v>8</v>
      </c>
      <c r="B8" s="7" t="s">
        <v>60</v>
      </c>
      <c r="C8" s="7" t="s">
        <v>61</v>
      </c>
      <c r="D8" s="7" t="s">
        <v>62</v>
      </c>
      <c r="E8" s="7" t="s">
        <v>63</v>
      </c>
      <c r="F8" s="7" t="s">
        <v>64</v>
      </c>
      <c r="G8" s="7" t="s">
        <v>65</v>
      </c>
    </row>
    <row r="9" spans="1:9" x14ac:dyDescent="0.35">
      <c r="A9" s="12">
        <v>0</v>
      </c>
      <c r="B9" s="2">
        <f>AVERAGEIF(Calculations!I:I,A9,Calculations!K:K)</f>
        <v>0.11878122701556806</v>
      </c>
      <c r="C9" s="2">
        <f>AVERAGEIF(Calculations!I:I,A9,Calculations!M:M)</f>
        <v>4.3163940130862347E-2</v>
      </c>
      <c r="D9" s="2">
        <f>SUMIF(Calculations!I:I,A9,Calculations!J:J)/SUMIF(Calculations!I:I,A9,Calculations!E:E)</f>
        <v>0.12111926005512216</v>
      </c>
      <c r="E9" s="2">
        <f>SUMIF(Calculations!I:I,A9,Calculations!L:L)/SUMIF(Calculations!I:I,A9,Calculations!E:E)</f>
        <v>4.355584621852665E-2</v>
      </c>
      <c r="F9" s="2">
        <f>AVERAGEIF(Calculations!I:I,A9,Calculations!E:E)</f>
        <v>121.90774487471526</v>
      </c>
      <c r="G9" s="2">
        <f>COUNTIF(Calculations!I:I,A9)</f>
        <v>878</v>
      </c>
    </row>
    <row r="10" spans="1:9" x14ac:dyDescent="0.35">
      <c r="A10" s="13">
        <v>1</v>
      </c>
      <c r="B10" s="2">
        <f>AVERAGEIF(Calculations!I:I,A10,Calculations!K:K)</f>
        <v>0.10108207135693688</v>
      </c>
      <c r="C10" s="2">
        <f>AVERAGEIF(Calculations!I:I,A10,Calculations!M:M)</f>
        <v>4.6567863829212401E-2</v>
      </c>
      <c r="D10" s="2">
        <f>SUMIF(Calculations!I:I,A10,Calculations!J:J)/SUMIF(Calculations!I:I,A10,Calculations!E:E)</f>
        <v>0.10697115384615384</v>
      </c>
      <c r="E10" s="2">
        <f>SUMIF(Calculations!I:I,A10,Calculations!L:L)/SUMIF(Calculations!I:I,A10,Calculations!E:E)</f>
        <v>4.6674679487179488E-2</v>
      </c>
      <c r="F10" s="2">
        <f>AVERAGEIF(Calculations!I:I,A10,Calculations!E:E)</f>
        <v>60.878048780487802</v>
      </c>
      <c r="G10" s="2">
        <f>COUNTIF(Calculations!I:I,A10)</f>
        <v>82</v>
      </c>
    </row>
    <row r="12" spans="1:9" ht="15.5" x14ac:dyDescent="0.45">
      <c r="A12" s="24" t="s">
        <v>75</v>
      </c>
    </row>
    <row r="14" spans="1:9" ht="42.5" x14ac:dyDescent="0.35">
      <c r="A14" s="25" t="s">
        <v>3</v>
      </c>
      <c r="B14" s="25" t="s">
        <v>76</v>
      </c>
      <c r="C14" s="25" t="s">
        <v>77</v>
      </c>
      <c r="D14" s="25" t="s">
        <v>78</v>
      </c>
      <c r="E14" s="25" t="s">
        <v>79</v>
      </c>
      <c r="F14" s="25" t="s">
        <v>80</v>
      </c>
      <c r="G14" s="25" t="s">
        <v>81</v>
      </c>
      <c r="H14" s="25" t="s">
        <v>82</v>
      </c>
      <c r="I14" s="25" t="s">
        <v>83</v>
      </c>
    </row>
    <row r="15" spans="1:9" x14ac:dyDescent="0.35">
      <c r="A15" s="21" t="s">
        <v>12</v>
      </c>
      <c r="B15" s="26">
        <f>AVERAGEIFS(Calculations!$K$2:$K$961,Calculations!$D$2:$D$961,'Promo_Stockout_ Impact'!A15,Calculations!$H$2:$H$961,0)</f>
        <v>0.10349083587904456</v>
      </c>
      <c r="C15" s="26">
        <f>AVERAGEIFS(Calculations!$K$2:$K$961,Calculations!$D$2:$D$961,'Promo_Stockout_ Impact'!A15,Calculations!$H$2:$H$961,1)</f>
        <v>0.12035309468783452</v>
      </c>
      <c r="D15" s="26">
        <f>AVERAGEIFS(Calculations!$M$2:$M$961,Calculations!$D$2:$D$961,'Promo_Stockout_ Impact'!A15,Calculations!$H$2:$H$961,0)</f>
        <v>3.6416410065858031E-2</v>
      </c>
      <c r="E15" s="26">
        <f>AVERAGEIFS(Calculations!$M$2:$M$961,Calculations!$D$2:$D$961,'Promo_Stockout_ Impact'!A15,Calculations!$H$2:$H$961,1)</f>
        <v>2.9890925808088165E-2</v>
      </c>
      <c r="F15" s="26">
        <f>IFERROR(SUMIFS(Calculations!J:J,Calculations!D:D,A15,Calculations!H:H,0)/SUMIFS(Calculations!E:E,Calculations!D:D,A15,Calculations!H:H,0),"n/a")</f>
        <v>0.10142671854734112</v>
      </c>
      <c r="G15" s="26">
        <f>IFERROR(SUMIFS(Calculations!J:J,Calculations!D:D,A15,Calculations!H:H,1)/SUMIFS(Calculations!E:E,Calculations!D:D,A15,Calculations!H:H,1),"n/a")</f>
        <v>0.10735930735930736</v>
      </c>
      <c r="H15" s="26">
        <f>IFERROR(SUMIFS(Calculations!L:L,Calculations!D:D,A15,Calculations!H:H,0)/SUMIFS(Calculations!E:E,Calculations!D:D,A15,Calculations!H:H,0),"n/a")</f>
        <v>3.1387808041504539E-2</v>
      </c>
      <c r="I15" s="26">
        <f>IFERROR(SUMIFS(Calculations!L:L,Calculations!D:D,A15,Calculations!H:H,1)/SUMIFS(Calculations!E:E,Calculations!D:D,A15,Calculations!H:H,1),"n/a")</f>
        <v>2.5974025974025976E-2</v>
      </c>
    </row>
    <row r="16" spans="1:9" x14ac:dyDescent="0.35">
      <c r="A16" s="21" t="s">
        <v>13</v>
      </c>
      <c r="B16" s="26">
        <f>AVERAGEIFS(Calculations!$K$2:$K$961,Calculations!$D$2:$D$961,'Promo_Stockout_ Impact'!A16,Calculations!$H$2:$H$961,0)</f>
        <v>0.10904074069182991</v>
      </c>
      <c r="C16" s="26">
        <f>AVERAGEIFS(Calculations!$K$2:$K$961,Calculations!$D$2:$D$961,'Promo_Stockout_ Impact'!A16,Calculations!$H$2:$H$961,1)</f>
        <v>0.12054137824843632</v>
      </c>
      <c r="D16" s="26">
        <f>AVERAGEIFS(Calculations!$M$2:$M$961,Calculations!$D$2:$D$961,'Promo_Stockout_ Impact'!A16,Calculations!$H$2:$H$961,0)</f>
        <v>5.431440784222135E-2</v>
      </c>
      <c r="E16" s="26">
        <f>AVERAGEIFS(Calculations!$M$2:$M$961,Calculations!$D$2:$D$961,'Promo_Stockout_ Impact'!A16,Calculations!$H$2:$H$961,1)</f>
        <v>3.3172390255702892E-2</v>
      </c>
      <c r="F16" s="26">
        <f>IFERROR(SUMIFS(Calculations!J:J,Calculations!D:D,A16,Calculations!H:H,0)/SUMIFS(Calculations!E:E,Calculations!D:D,A16,Calculations!H:H,0),"n/a")</f>
        <v>0.10899103787221741</v>
      </c>
      <c r="G16" s="26">
        <f>IFERROR(SUMIFS(Calculations!J:J,Calculations!D:D,A16,Calculations!H:H,1)/SUMIFS(Calculations!E:E,Calculations!D:D,A16,Calculations!H:H,1),"n/a")</f>
        <v>0.12250580046403713</v>
      </c>
      <c r="H16" s="26">
        <f>IFERROR(SUMIFS(Calculations!L:L,Calculations!D:D,A16,Calculations!H:H,0)/SUMIFS(Calculations!E:E,Calculations!D:D,A16,Calculations!H:H,0),"n/a")</f>
        <v>5.1749060422087309E-2</v>
      </c>
      <c r="I16" s="26">
        <f>IFERROR(SUMIFS(Calculations!L:L,Calculations!D:D,A16,Calculations!H:H,1)/SUMIFS(Calculations!E:E,Calculations!D:D,A16,Calculations!H:H,1),"n/a")</f>
        <v>3.6194895591647333E-2</v>
      </c>
    </row>
    <row r="17" spans="1:9" x14ac:dyDescent="0.35">
      <c r="A17" s="21" t="s">
        <v>14</v>
      </c>
      <c r="B17" s="26">
        <f>AVERAGEIFS(Calculations!$K$2:$K$961,Calculations!$D$2:$D$961,'Promo_Stockout_ Impact'!A17,Calculations!$H$2:$H$961,0)</f>
        <v>0.13711600870296972</v>
      </c>
      <c r="C17" s="26">
        <f>AVERAGEIFS(Calculations!$K$2:$K$961,Calculations!$D$2:$D$961,'Promo_Stockout_ Impact'!A17,Calculations!$H$2:$H$961,1)</f>
        <v>0.13439766711213208</v>
      </c>
      <c r="D17" s="26">
        <f>AVERAGEIFS(Calculations!$M$2:$M$961,Calculations!$D$2:$D$961,'Promo_Stockout_ Impact'!A17,Calculations!$H$2:$H$961,0)</f>
        <v>4.7847793606413065E-2</v>
      </c>
      <c r="E17" s="26">
        <f>AVERAGEIFS(Calculations!$M$2:$M$961,Calculations!$D$2:$D$961,'Promo_Stockout_ Impact'!A17,Calculations!$H$2:$H$961,1)</f>
        <v>4.2701069984588121E-2</v>
      </c>
      <c r="F17" s="26">
        <f>IFERROR(SUMIFS(Calculations!J:J,Calculations!D:D,A17,Calculations!H:H,0)/SUMIFS(Calculations!E:E,Calculations!D:D,A17,Calculations!H:H,0),"n/a")</f>
        <v>0.13290653008962869</v>
      </c>
      <c r="G17" s="26">
        <f>IFERROR(SUMIFS(Calculations!J:J,Calculations!D:D,A17,Calculations!H:H,1)/SUMIFS(Calculations!E:E,Calculations!D:D,A17,Calculations!H:H,1),"n/a")</f>
        <v>0.13048566413107079</v>
      </c>
      <c r="H17" s="26">
        <f>IFERROR(SUMIFS(Calculations!L:L,Calculations!D:D,A17,Calculations!H:H,0)/SUMIFS(Calculations!E:E,Calculations!D:D,A17,Calculations!H:H,0),"n/a")</f>
        <v>4.3021766965428934E-2</v>
      </c>
      <c r="I17" s="26">
        <f>IFERROR(SUMIFS(Calculations!L:L,Calculations!D:D,A17,Calculations!H:H,1)/SUMIFS(Calculations!E:E,Calculations!D:D,A17,Calculations!H:H,1),"n/a")</f>
        <v>4.0374488004681103E-2</v>
      </c>
    </row>
    <row r="18" spans="1:9" x14ac:dyDescent="0.35">
      <c r="A18" s="21" t="s">
        <v>15</v>
      </c>
      <c r="B18" s="26">
        <f>AVERAGEIFS(Calculations!$K$2:$K$961,Calculations!$D$2:$D$961,'Promo_Stockout_ Impact'!A18,Calculations!$H$2:$H$961,0)</f>
        <v>0.11902400347888858</v>
      </c>
      <c r="C18" s="26">
        <f>AVERAGEIFS(Calculations!$K$2:$K$961,Calculations!$D$2:$D$961,'Promo_Stockout_ Impact'!A18,Calculations!$H$2:$H$961,1)</f>
        <v>0.13119953066007797</v>
      </c>
      <c r="D18" s="26">
        <f>AVERAGEIFS(Calculations!$M$2:$M$961,Calculations!$D$2:$D$961,'Promo_Stockout_ Impact'!A18,Calculations!$H$2:$H$961,0)</f>
        <v>3.6215312231669863E-2</v>
      </c>
      <c r="E18" s="26">
        <f>AVERAGEIFS(Calculations!$M$2:$M$961,Calculations!$D$2:$D$961,'Promo_Stockout_ Impact'!A18,Calculations!$H$2:$H$961,1)</f>
        <v>5.0506648058554246E-2</v>
      </c>
      <c r="F18" s="26">
        <f>IFERROR(SUMIFS(Calculations!J:J,Calculations!D:D,A18,Calculations!H:H,0)/SUMIFS(Calculations!E:E,Calculations!D:D,A18,Calculations!H:H,0),"n/a")</f>
        <v>0.13456540571758591</v>
      </c>
      <c r="G18" s="26">
        <f>IFERROR(SUMIFS(Calculations!J:J,Calculations!D:D,A18,Calculations!H:H,1)/SUMIFS(Calculations!E:E,Calculations!D:D,A18,Calculations!H:H,1),"n/a")</f>
        <v>0.13735996103263517</v>
      </c>
      <c r="H18" s="26">
        <f>IFERROR(SUMIFS(Calculations!L:L,Calculations!D:D,A18,Calculations!H:H,0)/SUMIFS(Calculations!E:E,Calculations!D:D,A18,Calculations!H:H,0),"n/a")</f>
        <v>3.3785734911926074E-2</v>
      </c>
      <c r="I18" s="26">
        <f>IFERROR(SUMIFS(Calculations!L:L,Calculations!D:D,A18,Calculations!H:H,1)/SUMIFS(Calculations!E:E,Calculations!D:D,A18,Calculations!H:H,1),"n/a")</f>
        <v>5.1631758402338045E-2</v>
      </c>
    </row>
    <row r="19" spans="1:9" x14ac:dyDescent="0.35">
      <c r="A19" s="21" t="s">
        <v>16</v>
      </c>
      <c r="B19" s="26">
        <f>AVERAGEIFS(Calculations!$K$2:$K$961,Calculations!$D$2:$D$961,'Promo_Stockout_ Impact'!A19,Calculations!$H$2:$H$961,0)</f>
        <v>0.12707169007490329</v>
      </c>
      <c r="C19" s="26">
        <f>AVERAGEIFS(Calculations!$K$2:$K$961,Calculations!$D$2:$D$961,'Promo_Stockout_ Impact'!A19,Calculations!$H$2:$H$961,1)</f>
        <v>0.10816282009117126</v>
      </c>
      <c r="D19" s="26">
        <f>AVERAGEIFS(Calculations!$M$2:$M$961,Calculations!$D$2:$D$961,'Promo_Stockout_ Impact'!A19,Calculations!$H$2:$H$961,0)</f>
        <v>4.2426341736166655E-2</v>
      </c>
      <c r="E19" s="26">
        <f>AVERAGEIFS(Calculations!$M$2:$M$961,Calculations!$D$2:$D$961,'Promo_Stockout_ Impact'!A19,Calculations!$H$2:$H$961,1)</f>
        <v>4.8994921636811059E-2</v>
      </c>
      <c r="F19" s="26">
        <f>IFERROR(SUMIFS(Calculations!J:J,Calculations!D:D,A19,Calculations!H:H,0)/SUMIFS(Calculations!E:E,Calculations!D:D,A19,Calculations!H:H,0),"n/a")</f>
        <v>0.12411681582666038</v>
      </c>
      <c r="G19" s="26">
        <f>IFERROR(SUMIFS(Calculations!J:J,Calculations!D:D,A19,Calculations!H:H,1)/SUMIFS(Calculations!E:E,Calculations!D:D,A19,Calculations!H:H,1),"n/a")</f>
        <v>0.10743801652892562</v>
      </c>
      <c r="H19" s="26">
        <f>IFERROR(SUMIFS(Calculations!L:L,Calculations!D:D,A19,Calculations!H:H,0)/SUMIFS(Calculations!E:E,Calculations!D:D,A19,Calculations!H:H,0),"n/a")</f>
        <v>4.215732454074423E-2</v>
      </c>
      <c r="I19" s="26">
        <f>IFERROR(SUMIFS(Calculations!L:L,Calculations!D:D,A19,Calculations!H:H,1)/SUMIFS(Calculations!E:E,Calculations!D:D,A19,Calculations!H:H,1),"n/a")</f>
        <v>5.06198347107438E-2</v>
      </c>
    </row>
    <row r="20" spans="1:9" x14ac:dyDescent="0.35">
      <c r="A20" s="21" t="s">
        <v>17</v>
      </c>
      <c r="B20" s="26">
        <f>AVERAGEIFS(Calculations!$K$2:$K$961,Calculations!$D$2:$D$961,'Promo_Stockout_ Impact'!A20,Calculations!$H$2:$H$961,0)</f>
        <v>9.9978697131702196E-2</v>
      </c>
      <c r="C20" s="26">
        <f>AVERAGEIFS(Calculations!$K$2:$K$961,Calculations!$D$2:$D$961,'Promo_Stockout_ Impact'!A20,Calculations!$H$2:$H$961,1)</f>
        <v>0.12223547421145696</v>
      </c>
      <c r="D20" s="26">
        <f>AVERAGEIFS(Calculations!$M$2:$M$961,Calculations!$D$2:$D$961,'Promo_Stockout_ Impact'!A20,Calculations!$H$2:$H$961,0)</f>
        <v>4.8873351251672803E-2</v>
      </c>
      <c r="E20" s="26">
        <f>AVERAGEIFS(Calculations!$M$2:$M$961,Calculations!$D$2:$D$961,'Promo_Stockout_ Impact'!A20,Calculations!$H$2:$H$961,1)</f>
        <v>3.4694925213188746E-2</v>
      </c>
      <c r="F20" s="26">
        <f>IFERROR(SUMIFS(Calculations!J:J,Calculations!D:D,A20,Calculations!H:H,0)/SUMIFS(Calculations!E:E,Calculations!D:D,A20,Calculations!H:H,0),"n/a")</f>
        <v>0.10897435897435898</v>
      </c>
      <c r="G20" s="26">
        <f>IFERROR(SUMIFS(Calculations!J:J,Calculations!D:D,A20,Calculations!H:H,1)/SUMIFS(Calculations!E:E,Calculations!D:D,A20,Calculations!H:H,1),"n/a")</f>
        <v>0.12880324543610547</v>
      </c>
      <c r="H20" s="26">
        <f>IFERROR(SUMIFS(Calculations!L:L,Calculations!D:D,A20,Calculations!H:H,0)/SUMIFS(Calculations!E:E,Calculations!D:D,A20,Calculations!H:H,0),"n/a")</f>
        <v>5.2350427350427352E-2</v>
      </c>
      <c r="I20" s="26">
        <f>IFERROR(SUMIFS(Calculations!L:L,Calculations!D:D,A20,Calculations!H:H,1)/SUMIFS(Calculations!E:E,Calculations!D:D,A20,Calculations!H:H,1),"n/a")</f>
        <v>4.8681541582150101E-2</v>
      </c>
    </row>
    <row r="21" spans="1:9" x14ac:dyDescent="0.35">
      <c r="A21" s="21" t="s">
        <v>18</v>
      </c>
      <c r="B21" s="26">
        <f>AVERAGEIFS(Calculations!$K$2:$K$961,Calculations!$D$2:$D$961,'Promo_Stockout_ Impact'!A21,Calculations!$H$2:$H$961,0)</f>
        <v>0.12399474507652207</v>
      </c>
      <c r="C21" s="26">
        <f>AVERAGEIFS(Calculations!$K$2:$K$961,Calculations!$D$2:$D$961,'Promo_Stockout_ Impact'!A21,Calculations!$H$2:$H$961,1)</f>
        <v>0.11566220612604444</v>
      </c>
      <c r="D21" s="26">
        <f>AVERAGEIFS(Calculations!$M$2:$M$961,Calculations!$D$2:$D$961,'Promo_Stockout_ Impact'!A21,Calculations!$H$2:$H$961,0)</f>
        <v>4.1364262589581521E-2</v>
      </c>
      <c r="E21" s="26">
        <f>AVERAGEIFS(Calculations!$M$2:$M$961,Calculations!$D$2:$D$961,'Promo_Stockout_ Impact'!A21,Calculations!$H$2:$H$961,1)</f>
        <v>4.5851838723329569E-2</v>
      </c>
      <c r="F21" s="26">
        <f>IFERROR(SUMIFS(Calculations!J:J,Calculations!D:D,A21,Calculations!H:H,0)/SUMIFS(Calculations!E:E,Calculations!D:D,A21,Calculations!H:H,0),"n/a")</f>
        <v>0.11731511731511732</v>
      </c>
      <c r="G21" s="26">
        <f>IFERROR(SUMIFS(Calculations!J:J,Calculations!D:D,A21,Calculations!H:H,1)/SUMIFS(Calculations!E:E,Calculations!D:D,A21,Calculations!H:H,1),"n/a")</f>
        <v>0.14082840236686389</v>
      </c>
      <c r="H21" s="26">
        <f>IFERROR(SUMIFS(Calculations!L:L,Calculations!D:D,A21,Calculations!H:H,0)/SUMIFS(Calculations!E:E,Calculations!D:D,A21,Calculations!H:H,0),"n/a")</f>
        <v>4.0986040986040986E-2</v>
      </c>
      <c r="I21" s="26">
        <f>IFERROR(SUMIFS(Calculations!L:L,Calculations!D:D,A21,Calculations!H:H,1)/SUMIFS(Calculations!E:E,Calculations!D:D,A21,Calculations!H:H,1),"n/a")</f>
        <v>4.7337278106508875E-2</v>
      </c>
    </row>
    <row r="22" spans="1:9" x14ac:dyDescent="0.35">
      <c r="A22" s="21" t="s">
        <v>19</v>
      </c>
      <c r="B22" s="26">
        <f>AVERAGEIFS(Calculations!$K$2:$K$961,Calculations!$D$2:$D$961,'Promo_Stockout_ Impact'!A22,Calculations!$H$2:$H$961,0)</f>
        <v>8.7285809273215345E-2</v>
      </c>
      <c r="C22" s="26">
        <f>AVERAGEIFS(Calculations!$K$2:$K$961,Calculations!$D$2:$D$961,'Promo_Stockout_ Impact'!A22,Calculations!$H$2:$H$961,1)</f>
        <v>0.14574907107972768</v>
      </c>
      <c r="D22" s="26">
        <f>AVERAGEIFS(Calculations!$M$2:$M$961,Calculations!$D$2:$D$961,'Promo_Stockout_ Impact'!A22,Calculations!$H$2:$H$961,0)</f>
        <v>3.6298636489773106E-2</v>
      </c>
      <c r="E22" s="26">
        <f>AVERAGEIFS(Calculations!$M$2:$M$961,Calculations!$D$2:$D$961,'Promo_Stockout_ Impact'!A22,Calculations!$H$2:$H$961,1)</f>
        <v>5.57131872123953E-2</v>
      </c>
      <c r="F22" s="26">
        <f>IFERROR(SUMIFS(Calculations!J:J,Calculations!D:D,A22,Calculations!H:H,0)/SUMIFS(Calculations!E:E,Calculations!D:D,A22,Calculations!H:H,0),"n/a")</f>
        <v>9.1531755915317564E-2</v>
      </c>
      <c r="G22" s="26">
        <f>IFERROR(SUMIFS(Calculations!J:J,Calculations!D:D,A22,Calculations!H:H,1)/SUMIFS(Calculations!E:E,Calculations!D:D,A22,Calculations!H:H,1),"n/a")</f>
        <v>0.1302170283806344</v>
      </c>
      <c r="H22" s="26">
        <f>IFERROR(SUMIFS(Calculations!L:L,Calculations!D:D,A22,Calculations!H:H,0)/SUMIFS(Calculations!E:E,Calculations!D:D,A22,Calculations!H:H,0),"n/a")</f>
        <v>3.4869240348692404E-2</v>
      </c>
      <c r="I22" s="26">
        <f>IFERROR(SUMIFS(Calculations!L:L,Calculations!D:D,A22,Calculations!H:H,1)/SUMIFS(Calculations!E:E,Calculations!D:D,A22,Calculations!H:H,1),"n/a")</f>
        <v>6.0100166944908183E-2</v>
      </c>
    </row>
    <row r="23" spans="1:9" x14ac:dyDescent="0.35">
      <c r="A23" s="21" t="s">
        <v>20</v>
      </c>
      <c r="B23" s="26">
        <f>AVERAGEIFS(Calculations!$K$2:$K$961,Calculations!$D$2:$D$961,'Promo_Stockout_ Impact'!A23,Calculations!$H$2:$H$961,0)</f>
        <v>0.11046948512815748</v>
      </c>
      <c r="C23" s="26">
        <f>AVERAGEIFS(Calculations!$K$2:$K$961,Calculations!$D$2:$D$961,'Promo_Stockout_ Impact'!A23,Calculations!$H$2:$H$961,1)</f>
        <v>0.13930369166009918</v>
      </c>
      <c r="D23" s="26">
        <f>AVERAGEIFS(Calculations!$M$2:$M$961,Calculations!$D$2:$D$961,'Promo_Stockout_ Impact'!A23,Calculations!$H$2:$H$961,0)</f>
        <v>4.1642883773073631E-2</v>
      </c>
      <c r="E23" s="26">
        <f>AVERAGEIFS(Calculations!$M$2:$M$961,Calculations!$D$2:$D$961,'Promo_Stockout_ Impact'!A23,Calculations!$H$2:$H$961,1)</f>
        <v>3.6970533173471272E-2</v>
      </c>
      <c r="F23" s="26">
        <f>IFERROR(SUMIFS(Calculations!J:J,Calculations!D:D,A23,Calculations!H:H,0)/SUMIFS(Calculations!E:E,Calculations!D:D,A23,Calculations!H:H,0),"n/a")</f>
        <v>0.12107925801011804</v>
      </c>
      <c r="G23" s="26">
        <f>IFERROR(SUMIFS(Calculations!J:J,Calculations!D:D,A23,Calculations!H:H,1)/SUMIFS(Calculations!E:E,Calculations!D:D,A23,Calculations!H:H,1),"n/a")</f>
        <v>0.13264248704663212</v>
      </c>
      <c r="H23" s="26">
        <f>IFERROR(SUMIFS(Calculations!L:L,Calculations!D:D,A23,Calculations!H:H,0)/SUMIFS(Calculations!E:E,Calculations!D:D,A23,Calculations!H:H,0),"n/a")</f>
        <v>4.2158516020236091E-2</v>
      </c>
      <c r="I23" s="26">
        <f>IFERROR(SUMIFS(Calculations!L:L,Calculations!D:D,A23,Calculations!H:H,1)/SUMIFS(Calculations!E:E,Calculations!D:D,A23,Calculations!H:H,1),"n/a")</f>
        <v>3.8341968911917101E-2</v>
      </c>
    </row>
    <row r="24" spans="1:9" x14ac:dyDescent="0.35">
      <c r="A24" s="21" t="s">
        <v>21</v>
      </c>
      <c r="B24" s="26">
        <f>AVERAGEIFS(Calculations!$K$2:$K$961,Calculations!$D$2:$D$961,'Promo_Stockout_ Impact'!A24,Calculations!$H$2:$H$961,0)</f>
        <v>0.1085926626019548</v>
      </c>
      <c r="C24" s="26">
        <f>AVERAGEIFS(Calculations!$K$2:$K$961,Calculations!$D$2:$D$961,'Promo_Stockout_ Impact'!A24,Calculations!$H$2:$H$961,1)</f>
        <v>0.16687629245124233</v>
      </c>
      <c r="D24" s="26">
        <f>AVERAGEIFS(Calculations!$M$2:$M$961,Calculations!$D$2:$D$961,'Promo_Stockout_ Impact'!A24,Calculations!$H$2:$H$961,0)</f>
        <v>4.366728559521884E-2</v>
      </c>
      <c r="E24" s="26">
        <f>AVERAGEIFS(Calculations!$M$2:$M$961,Calculations!$D$2:$D$961,'Promo_Stockout_ Impact'!A24,Calculations!$H$2:$H$961,1)</f>
        <v>4.7951918326323027E-2</v>
      </c>
      <c r="F24" s="26">
        <f>IFERROR(SUMIFS(Calculations!J:J,Calculations!D:D,A24,Calculations!H:H,0)/SUMIFS(Calculations!E:E,Calculations!D:D,A24,Calculations!H:H,0),"n/a")</f>
        <v>0.1162127929069031</v>
      </c>
      <c r="G24" s="26">
        <f>IFERROR(SUMIFS(Calculations!J:J,Calculations!D:D,A24,Calculations!H:H,1)/SUMIFS(Calculations!E:E,Calculations!D:D,A24,Calculations!H:H,1),"n/a")</f>
        <v>0.15639810426540285</v>
      </c>
      <c r="H24" s="26">
        <f>IFERROR(SUMIFS(Calculations!L:L,Calculations!D:D,A24,Calculations!H:H,0)/SUMIFS(Calculations!E:E,Calculations!D:D,A24,Calculations!H:H,0),"n/a")</f>
        <v>4.4648511716276124E-2</v>
      </c>
      <c r="I24" s="26">
        <f>IFERROR(SUMIFS(Calculations!L:L,Calculations!D:D,A24,Calculations!H:H,1)/SUMIFS(Calculations!E:E,Calculations!D:D,A24,Calculations!H:H,1),"n/a")</f>
        <v>5.3712480252764615E-2</v>
      </c>
    </row>
    <row r="25" spans="1:9" x14ac:dyDescent="0.35">
      <c r="A25" s="21" t="s">
        <v>22</v>
      </c>
      <c r="B25" s="26">
        <f>AVERAGEIFS(Calculations!$K$2:$K$961,Calculations!$D$2:$D$961,'Promo_Stockout_ Impact'!A25,Calculations!$H$2:$H$961,0)</f>
        <v>0.11434638312767867</v>
      </c>
      <c r="C25" s="26">
        <f>AVERAGEIFS(Calculations!$K$2:$K$961,Calculations!$D$2:$D$961,'Promo_Stockout_ Impact'!A25,Calculations!$H$2:$H$961,1)</f>
        <v>0.14279298186607506</v>
      </c>
      <c r="D25" s="26">
        <f>AVERAGEIFS(Calculations!$M$2:$M$961,Calculations!$D$2:$D$961,'Promo_Stockout_ Impact'!A25,Calculations!$H$2:$H$961,0)</f>
        <v>4.8447134233551382E-2</v>
      </c>
      <c r="E25" s="26">
        <f>AVERAGEIFS(Calculations!$M$2:$M$961,Calculations!$D$2:$D$961,'Promo_Stockout_ Impact'!A25,Calculations!$H$2:$H$961,1)</f>
        <v>4.8258677269003444E-2</v>
      </c>
      <c r="F25" s="26">
        <f>IFERROR(SUMIFS(Calculations!J:J,Calculations!D:D,A25,Calculations!H:H,0)/SUMIFS(Calculations!E:E,Calculations!D:D,A25,Calculations!H:H,0),"n/a")</f>
        <v>0.1108761329305136</v>
      </c>
      <c r="G25" s="26">
        <f>IFERROR(SUMIFS(Calculations!J:J,Calculations!D:D,A25,Calculations!H:H,1)/SUMIFS(Calculations!E:E,Calculations!D:D,A25,Calculations!H:H,1),"n/a")</f>
        <v>0.12868217054263567</v>
      </c>
      <c r="H25" s="26">
        <f>IFERROR(SUMIFS(Calculations!L:L,Calculations!D:D,A25,Calculations!H:H,0)/SUMIFS(Calculations!E:E,Calculations!D:D,A25,Calculations!H:H,0),"n/a")</f>
        <v>5.1661631419939576E-2</v>
      </c>
      <c r="I25" s="26">
        <f>IFERROR(SUMIFS(Calculations!L:L,Calculations!D:D,A25,Calculations!H:H,1)/SUMIFS(Calculations!E:E,Calculations!D:D,A25,Calculations!H:H,1),"n/a")</f>
        <v>5.1162790697674418E-2</v>
      </c>
    </row>
    <row r="26" spans="1:9" x14ac:dyDescent="0.35">
      <c r="A26" s="21" t="s">
        <v>23</v>
      </c>
      <c r="B26" s="26">
        <f>AVERAGEIFS(Calculations!$K$2:$K$961,Calculations!$D$2:$D$961,'Promo_Stockout_ Impact'!A26,Calculations!$H$2:$H$961,0)</f>
        <v>0.12639577811802369</v>
      </c>
      <c r="C26" s="26">
        <f>AVERAGEIFS(Calculations!$K$2:$K$961,Calculations!$D$2:$D$961,'Promo_Stockout_ Impact'!A26,Calculations!$H$2:$H$961,1)</f>
        <v>0.13082887611690697</v>
      </c>
      <c r="D26" s="26">
        <f>AVERAGEIFS(Calculations!$M$2:$M$961,Calculations!$D$2:$D$961,'Promo_Stockout_ Impact'!A26,Calculations!$H$2:$H$961,0)</f>
        <v>4.4139126648558673E-2</v>
      </c>
      <c r="E26" s="26">
        <f>AVERAGEIFS(Calculations!$M$2:$M$961,Calculations!$D$2:$D$961,'Promo_Stockout_ Impact'!A26,Calculations!$H$2:$H$961,1)</f>
        <v>3.3817008878089985E-2</v>
      </c>
      <c r="F26" s="26">
        <f>IFERROR(SUMIFS(Calculations!J:J,Calculations!D:D,A26,Calculations!H:H,0)/SUMIFS(Calculations!E:E,Calculations!D:D,A26,Calculations!H:H,0),"n/a")</f>
        <v>0.1211453744493392</v>
      </c>
      <c r="G26" s="26">
        <f>IFERROR(SUMIFS(Calculations!J:J,Calculations!D:D,A26,Calculations!H:H,1)/SUMIFS(Calculations!E:E,Calculations!D:D,A26,Calculations!H:H,1),"n/a")</f>
        <v>0.12794268167860798</v>
      </c>
      <c r="H26" s="26">
        <f>IFERROR(SUMIFS(Calculations!L:L,Calculations!D:D,A26,Calculations!H:H,0)/SUMIFS(Calculations!E:E,Calculations!D:D,A26,Calculations!H:H,0),"n/a")</f>
        <v>4.6530837004405287E-2</v>
      </c>
      <c r="I26" s="26">
        <f>IFERROR(SUMIFS(Calculations!L:L,Calculations!D:D,A26,Calculations!H:H,1)/SUMIFS(Calculations!E:E,Calculations!D:D,A26,Calculations!H:H,1),"n/a")</f>
        <v>3.3776867963152504E-2</v>
      </c>
    </row>
    <row r="27" spans="1:9" x14ac:dyDescent="0.35">
      <c r="A27" s="21" t="s">
        <v>24</v>
      </c>
      <c r="B27" s="26">
        <f>AVERAGEIFS(Calculations!$K$2:$K$961,Calculations!$D$2:$D$961,'Promo_Stockout_ Impact'!A27,Calculations!$H$2:$H$961,0)</f>
        <v>0.12051100386032951</v>
      </c>
      <c r="C27" s="26">
        <f>AVERAGEIFS(Calculations!$K$2:$K$961,Calculations!$D$2:$D$961,'Promo_Stockout_ Impact'!A27,Calculations!$H$2:$H$961,1)</f>
        <v>0.12247901134454306</v>
      </c>
      <c r="D27" s="26">
        <f>AVERAGEIFS(Calculations!$M$2:$M$961,Calculations!$D$2:$D$961,'Promo_Stockout_ Impact'!A27,Calculations!$H$2:$H$961,0)</f>
        <v>4.9166199200814241E-2</v>
      </c>
      <c r="E27" s="26">
        <f>AVERAGEIFS(Calculations!$M$2:$M$961,Calculations!$D$2:$D$961,'Promo_Stockout_ Impact'!A27,Calculations!$H$2:$H$961,1)</f>
        <v>4.7888703261895336E-2</v>
      </c>
      <c r="F27" s="26">
        <f>IFERROR(SUMIFS(Calculations!J:J,Calculations!D:D,A27,Calculations!H:H,0)/SUMIFS(Calculations!E:E,Calculations!D:D,A27,Calculations!H:H,0),"n/a")</f>
        <v>0.12120438887471294</v>
      </c>
      <c r="G27" s="26">
        <f>IFERROR(SUMIFS(Calculations!J:J,Calculations!D:D,A27,Calculations!H:H,1)/SUMIFS(Calculations!E:E,Calculations!D:D,A27,Calculations!H:H,1),"n/a")</f>
        <v>0.12593144560357675</v>
      </c>
      <c r="H27" s="26">
        <f>IFERROR(SUMIFS(Calculations!L:L,Calculations!D:D,A27,Calculations!H:H,0)/SUMIFS(Calculations!E:E,Calculations!D:D,A27,Calculations!H:H,0),"n/a")</f>
        <v>4.8992089818831332E-2</v>
      </c>
      <c r="I27" s="26">
        <f>IFERROR(SUMIFS(Calculations!L:L,Calculations!D:D,A27,Calculations!H:H,1)/SUMIFS(Calculations!E:E,Calculations!D:D,A27,Calculations!H:H,1),"n/a")</f>
        <v>4.8435171385991058E-2</v>
      </c>
    </row>
    <row r="28" spans="1:9" x14ac:dyDescent="0.35">
      <c r="A28" s="21" t="s">
        <v>25</v>
      </c>
      <c r="B28" s="26">
        <f>AVERAGEIFS(Calculations!$K$2:$K$961,Calculations!$D$2:$D$961,'Promo_Stockout_ Impact'!A28,Calculations!$H$2:$H$961,0)</f>
        <v>0.12278635369372336</v>
      </c>
      <c r="C28" s="26">
        <f>AVERAGEIFS(Calculations!$K$2:$K$961,Calculations!$D$2:$D$961,'Promo_Stockout_ Impact'!A28,Calculations!$H$2:$H$961,1)</f>
        <v>0.11463203455515758</v>
      </c>
      <c r="D28" s="26">
        <f>AVERAGEIFS(Calculations!$M$2:$M$961,Calculations!$D$2:$D$961,'Promo_Stockout_ Impact'!A28,Calculations!$H$2:$H$961,0)</f>
        <v>4.0976930029512561E-2</v>
      </c>
      <c r="E28" s="26">
        <f>AVERAGEIFS(Calculations!$M$2:$M$961,Calculations!$D$2:$D$961,'Promo_Stockout_ Impact'!A28,Calculations!$H$2:$H$961,1)</f>
        <v>4.6246074705490185E-2</v>
      </c>
      <c r="F28" s="26">
        <f>IFERROR(SUMIFS(Calculations!J:J,Calculations!D:D,A28,Calculations!H:H,0)/SUMIFS(Calculations!E:E,Calculations!D:D,A28,Calculations!H:H,0),"n/a")</f>
        <v>0.13432835820895522</v>
      </c>
      <c r="G28" s="26">
        <f>IFERROR(SUMIFS(Calculations!J:J,Calculations!D:D,A28,Calculations!H:H,1)/SUMIFS(Calculations!E:E,Calculations!D:D,A28,Calculations!H:H,1),"n/a")</f>
        <v>0.11656746031746032</v>
      </c>
      <c r="H28" s="26">
        <f>IFERROR(SUMIFS(Calculations!L:L,Calculations!D:D,A28,Calculations!H:H,0)/SUMIFS(Calculations!E:E,Calculations!D:D,A28,Calculations!H:H,0),"n/a")</f>
        <v>4.04707233065442E-2</v>
      </c>
      <c r="I28" s="26">
        <f>IFERROR(SUMIFS(Calculations!L:L,Calculations!D:D,A28,Calculations!H:H,1)/SUMIFS(Calculations!E:E,Calculations!D:D,A28,Calculations!H:H,1),"n/a")</f>
        <v>4.41468253968254E-2</v>
      </c>
    </row>
    <row r="29" spans="1:9" x14ac:dyDescent="0.35">
      <c r="A29" s="21" t="s">
        <v>26</v>
      </c>
      <c r="B29" s="26">
        <f>AVERAGEIFS(Calculations!$K$2:$K$961,Calculations!$D$2:$D$961,'Promo_Stockout_ Impact'!A29,Calculations!$H$2:$H$961,0)</f>
        <v>9.1166959394808372E-2</v>
      </c>
      <c r="C29" s="26">
        <f>AVERAGEIFS(Calculations!$K$2:$K$961,Calculations!$D$2:$D$961,'Promo_Stockout_ Impact'!A29,Calculations!$H$2:$H$961,1)</f>
        <v>0.10539886846122715</v>
      </c>
      <c r="D29" s="26">
        <f>AVERAGEIFS(Calculations!$M$2:$M$961,Calculations!$D$2:$D$961,'Promo_Stockout_ Impact'!A29,Calculations!$H$2:$H$961,0)</f>
        <v>4.1071791604447003E-2</v>
      </c>
      <c r="E29" s="26">
        <f>AVERAGEIFS(Calculations!$M$2:$M$961,Calculations!$D$2:$D$961,'Promo_Stockout_ Impact'!A29,Calculations!$H$2:$H$961,1)</f>
        <v>3.5364348861437578E-2</v>
      </c>
      <c r="F29" s="26">
        <f>IFERROR(SUMIFS(Calculations!J:J,Calculations!D:D,A29,Calculations!H:H,0)/SUMIFS(Calculations!E:E,Calculations!D:D,A29,Calculations!H:H,0),"n/a")</f>
        <v>0.10251798561151079</v>
      </c>
      <c r="G29" s="26">
        <f>IFERROR(SUMIFS(Calculations!J:J,Calculations!D:D,A29,Calculations!H:H,1)/SUMIFS(Calculations!E:E,Calculations!D:D,A29,Calculations!H:H,1),"n/a")</f>
        <v>0.10473457675753228</v>
      </c>
      <c r="H29" s="26">
        <f>IFERROR(SUMIFS(Calculations!L:L,Calculations!D:D,A29,Calculations!H:H,0)/SUMIFS(Calculations!E:E,Calculations!D:D,A29,Calculations!H:H,0),"n/a")</f>
        <v>4.2715827338129495E-2</v>
      </c>
      <c r="I29" s="26">
        <f>IFERROR(SUMIFS(Calculations!L:L,Calculations!D:D,A29,Calculations!H:H,1)/SUMIFS(Calculations!E:E,Calculations!D:D,A29,Calculations!H:H,1),"n/a")</f>
        <v>3.3715925394548062E-2</v>
      </c>
    </row>
    <row r="30" spans="1:9" x14ac:dyDescent="0.35">
      <c r="A30" s="21" t="s">
        <v>27</v>
      </c>
      <c r="B30" s="26">
        <f>AVERAGEIFS(Calculations!$K$2:$K$961,Calculations!$D$2:$D$961,'Promo_Stockout_ Impact'!A30,Calculations!$H$2:$H$961,0)</f>
        <v>0.12805767896073253</v>
      </c>
      <c r="C30" s="26">
        <f>AVERAGEIFS(Calculations!$K$2:$K$961,Calculations!$D$2:$D$961,'Promo_Stockout_ Impact'!A30,Calculations!$H$2:$H$961,1)</f>
        <v>0.14292470413880495</v>
      </c>
      <c r="D30" s="26">
        <f>AVERAGEIFS(Calculations!$M$2:$M$961,Calculations!$D$2:$D$961,'Promo_Stockout_ Impact'!A30,Calculations!$H$2:$H$961,0)</f>
        <v>4.3449122041145781E-2</v>
      </c>
      <c r="E30" s="26">
        <f>AVERAGEIFS(Calculations!$M$2:$M$961,Calculations!$D$2:$D$961,'Promo_Stockout_ Impact'!A30,Calculations!$H$2:$H$961,1)</f>
        <v>6.9785239276015668E-2</v>
      </c>
      <c r="F30" s="26">
        <f>IFERROR(SUMIFS(Calculations!J:J,Calculations!D:D,A30,Calculations!H:H,0)/SUMIFS(Calculations!E:E,Calculations!D:D,A30,Calculations!H:H,0),"n/a")</f>
        <v>0.13881429456723818</v>
      </c>
      <c r="G30" s="26">
        <f>IFERROR(SUMIFS(Calculations!J:J,Calculations!D:D,A30,Calculations!H:H,1)/SUMIFS(Calculations!E:E,Calculations!D:D,A30,Calculations!H:H,1),"n/a")</f>
        <v>0.14543114543114544</v>
      </c>
      <c r="H30" s="26">
        <f>IFERROR(SUMIFS(Calculations!L:L,Calculations!D:D,A30,Calculations!H:H,0)/SUMIFS(Calculations!E:E,Calculations!D:D,A30,Calculations!H:H,0),"n/a")</f>
        <v>4.7097707085312954E-2</v>
      </c>
      <c r="I30" s="26">
        <f>IFERROR(SUMIFS(Calculations!L:L,Calculations!D:D,A30,Calculations!H:H,1)/SUMIFS(Calculations!E:E,Calculations!D:D,A30,Calculations!H:H,1),"n/a")</f>
        <v>7.9794079794079792E-2</v>
      </c>
    </row>
    <row r="31" spans="1:9" x14ac:dyDescent="0.35">
      <c r="A31" s="21" t="s">
        <v>28</v>
      </c>
      <c r="B31" s="26">
        <f>AVERAGEIFS(Calculations!$K$2:$K$961,Calculations!$D$2:$D$961,'Promo_Stockout_ Impact'!A31,Calculations!$H$2:$H$961,0)</f>
        <v>0.1252244602869122</v>
      </c>
      <c r="C31" s="26">
        <f>AVERAGEIFS(Calculations!$K$2:$K$961,Calculations!$D$2:$D$961,'Promo_Stockout_ Impact'!A31,Calculations!$H$2:$H$961,1)</f>
        <v>0.14907919919956589</v>
      </c>
      <c r="D31" s="26">
        <f>AVERAGEIFS(Calculations!$M$2:$M$961,Calculations!$D$2:$D$961,'Promo_Stockout_ Impact'!A31,Calculations!$H$2:$H$961,0)</f>
        <v>5.0856323419262613E-2</v>
      </c>
      <c r="E31" s="26">
        <f>AVERAGEIFS(Calculations!$M$2:$M$961,Calculations!$D$2:$D$961,'Promo_Stockout_ Impact'!A31,Calculations!$H$2:$H$961,1)</f>
        <v>3.9342425520636173E-2</v>
      </c>
      <c r="F31" s="26">
        <f>IFERROR(SUMIFS(Calculations!J:J,Calculations!D:D,A31,Calculations!H:H,0)/SUMIFS(Calculations!E:E,Calculations!D:D,A31,Calculations!H:H,0),"n/a")</f>
        <v>0.12554489973844812</v>
      </c>
      <c r="G31" s="26">
        <f>IFERROR(SUMIFS(Calculations!J:J,Calculations!D:D,A31,Calculations!H:H,1)/SUMIFS(Calculations!E:E,Calculations!D:D,A31,Calculations!H:H,1),"n/a")</f>
        <v>0.13410900183710961</v>
      </c>
      <c r="H31" s="26">
        <f>IFERROR(SUMIFS(Calculations!L:L,Calculations!D:D,A31,Calculations!H:H,0)/SUMIFS(Calculations!E:E,Calculations!D:D,A31,Calculations!H:H,0),"n/a")</f>
        <v>5.3182214472537057E-2</v>
      </c>
      <c r="I31" s="26">
        <f>IFERROR(SUMIFS(Calculations!L:L,Calculations!D:D,A31,Calculations!H:H,1)/SUMIFS(Calculations!E:E,Calculations!D:D,A31,Calculations!H:H,1),"n/a")</f>
        <v>4.470300061236987E-2</v>
      </c>
    </row>
    <row r="32" spans="1:9" x14ac:dyDescent="0.35">
      <c r="A32" s="21" t="s">
        <v>29</v>
      </c>
      <c r="B32" s="26">
        <f>AVERAGEIFS(Calculations!$K$2:$K$961,Calculations!$D$2:$D$961,'Promo_Stockout_ Impact'!A32,Calculations!$H$2:$H$961,0)</f>
        <v>0.1154276911618535</v>
      </c>
      <c r="C32" s="26">
        <f>AVERAGEIFS(Calculations!$K$2:$K$961,Calculations!$D$2:$D$961,'Promo_Stockout_ Impact'!A32,Calculations!$H$2:$H$961,1)</f>
        <v>7.8798956822153141E-2</v>
      </c>
      <c r="D32" s="26">
        <f>AVERAGEIFS(Calculations!$M$2:$M$961,Calculations!$D$2:$D$961,'Promo_Stockout_ Impact'!A32,Calculations!$H$2:$H$961,0)</f>
        <v>3.8837084165553419E-2</v>
      </c>
      <c r="E32" s="26">
        <f>AVERAGEIFS(Calculations!$M$2:$M$961,Calculations!$D$2:$D$961,'Promo_Stockout_ Impact'!A32,Calculations!$H$2:$H$961,1)</f>
        <v>4.8192427033250843E-2</v>
      </c>
      <c r="F32" s="26">
        <f>IFERROR(SUMIFS(Calculations!J:J,Calculations!D:D,A32,Calculations!H:H,0)/SUMIFS(Calculations!E:E,Calculations!D:D,A32,Calculations!H:H,0),"n/a")</f>
        <v>0.12325321408608161</v>
      </c>
      <c r="G32" s="26">
        <f>IFERROR(SUMIFS(Calculations!J:J,Calculations!D:D,A32,Calculations!H:H,1)/SUMIFS(Calculations!E:E,Calculations!D:D,A32,Calculations!H:H,1),"n/a")</f>
        <v>7.789855072463768E-2</v>
      </c>
      <c r="H32" s="26">
        <f>IFERROR(SUMIFS(Calculations!L:L,Calculations!D:D,A32,Calculations!H:H,0)/SUMIFS(Calculations!E:E,Calculations!D:D,A32,Calculations!H:H,0),"n/a")</f>
        <v>3.6612632755729457E-2</v>
      </c>
      <c r="I32" s="26">
        <f>IFERROR(SUMIFS(Calculations!L:L,Calculations!D:D,A32,Calculations!H:H,1)/SUMIFS(Calculations!E:E,Calculations!D:D,A32,Calculations!H:H,1),"n/a")</f>
        <v>4.8007246376811592E-2</v>
      </c>
    </row>
    <row r="33" spans="1:9" x14ac:dyDescent="0.35">
      <c r="A33" s="21" t="s">
        <v>30</v>
      </c>
      <c r="B33" s="26">
        <f>AVERAGEIFS(Calculations!$K$2:$K$961,Calculations!$D$2:$D$961,'Promo_Stockout_ Impact'!A33,Calculations!$H$2:$H$961,0)</f>
        <v>0.11592603935256608</v>
      </c>
      <c r="C33" s="26">
        <f>AVERAGEIFS(Calculations!$K$2:$K$961,Calculations!$D$2:$D$961,'Promo_Stockout_ Impact'!A33,Calculations!$H$2:$H$961,1)</f>
        <v>9.8763157318992822E-2</v>
      </c>
      <c r="D33" s="26">
        <f>AVERAGEIFS(Calculations!$M$2:$M$961,Calculations!$D$2:$D$961,'Promo_Stockout_ Impact'!A33,Calculations!$H$2:$H$961,0)</f>
        <v>3.5411691466648715E-2</v>
      </c>
      <c r="E33" s="26">
        <f>AVERAGEIFS(Calculations!$M$2:$M$961,Calculations!$D$2:$D$961,'Promo_Stockout_ Impact'!A33,Calculations!$H$2:$H$961,1)</f>
        <v>4.046764746527181E-2</v>
      </c>
      <c r="F33" s="26">
        <f>IFERROR(SUMIFS(Calculations!J:J,Calculations!D:D,A33,Calculations!H:H,0)/SUMIFS(Calculations!E:E,Calculations!D:D,A33,Calculations!H:H,0),"n/a")</f>
        <v>0.12447129909365559</v>
      </c>
      <c r="G33" s="26">
        <f>IFERROR(SUMIFS(Calculations!J:J,Calculations!D:D,A33,Calculations!H:H,1)/SUMIFS(Calculations!E:E,Calculations!D:D,A33,Calculations!H:H,1),"n/a")</f>
        <v>9.7256857855361589E-2</v>
      </c>
      <c r="H33" s="26">
        <f>IFERROR(SUMIFS(Calculations!L:L,Calculations!D:D,A33,Calculations!H:H,0)/SUMIFS(Calculations!E:E,Calculations!D:D,A33,Calculations!H:H,0),"n/a")</f>
        <v>3.5649546827794559E-2</v>
      </c>
      <c r="I33" s="26">
        <f>IFERROR(SUMIFS(Calculations!L:L,Calculations!D:D,A33,Calculations!H:H,1)/SUMIFS(Calculations!E:E,Calculations!D:D,A33,Calculations!H:H,1),"n/a")</f>
        <v>4.2394014962593519E-2</v>
      </c>
    </row>
    <row r="34" spans="1:9" x14ac:dyDescent="0.35">
      <c r="A34" s="21" t="s">
        <v>31</v>
      </c>
      <c r="B34" s="26">
        <f>AVERAGEIFS(Calculations!$K$2:$K$961,Calculations!$D$2:$D$961,'Promo_Stockout_ Impact'!A34,Calculations!$H$2:$H$961,0)</f>
        <v>0.11059159431090812</v>
      </c>
      <c r="C34" s="26">
        <f>AVERAGEIFS(Calculations!$K$2:$K$961,Calculations!$D$2:$D$961,'Promo_Stockout_ Impact'!A34,Calculations!$H$2:$H$961,1)</f>
        <v>0.1211417148995908</v>
      </c>
      <c r="D34" s="26">
        <f>AVERAGEIFS(Calculations!$M$2:$M$961,Calculations!$D$2:$D$961,'Promo_Stockout_ Impact'!A34,Calculations!$H$2:$H$961,0)</f>
        <v>4.1943997215436485E-2</v>
      </c>
      <c r="E34" s="26">
        <f>AVERAGEIFS(Calculations!$M$2:$M$961,Calculations!$D$2:$D$961,'Promo_Stockout_ Impact'!A34,Calculations!$H$2:$H$961,1)</f>
        <v>6.1882333874985568E-2</v>
      </c>
      <c r="F34" s="26">
        <f>IFERROR(SUMIFS(Calculations!J:J,Calculations!D:D,A34,Calculations!H:H,0)/SUMIFS(Calculations!E:E,Calculations!D:D,A34,Calculations!H:H,0),"n/a")</f>
        <v>0.11611374407582939</v>
      </c>
      <c r="G34" s="26">
        <f>IFERROR(SUMIFS(Calculations!J:J,Calculations!D:D,A34,Calculations!H:H,1)/SUMIFS(Calculations!E:E,Calculations!D:D,A34,Calculations!H:H,1),"n/a")</f>
        <v>0.12299465240641712</v>
      </c>
      <c r="H34" s="26">
        <f>IFERROR(SUMIFS(Calculations!L:L,Calculations!D:D,A34,Calculations!H:H,0)/SUMIFS(Calculations!E:E,Calculations!D:D,A34,Calculations!H:H,0),"n/a")</f>
        <v>3.9988151658767769E-2</v>
      </c>
      <c r="I34" s="26">
        <f>IFERROR(SUMIFS(Calculations!L:L,Calculations!D:D,A34,Calculations!H:H,1)/SUMIFS(Calculations!E:E,Calculations!D:D,A34,Calculations!H:H,1),"n/a")</f>
        <v>5.7040998217468802E-2</v>
      </c>
    </row>
    <row r="35" spans="1:9" x14ac:dyDescent="0.35">
      <c r="A35" s="21" t="s">
        <v>32</v>
      </c>
      <c r="B35" s="26">
        <f>AVERAGEIFS(Calculations!$K$2:$K$961,Calculations!$D$2:$D$961,'Promo_Stockout_ Impact'!A35,Calculations!$H$2:$H$961,0)</f>
        <v>0.10517871972794605</v>
      </c>
      <c r="C35" s="26">
        <f>AVERAGEIFS(Calculations!$K$2:$K$961,Calculations!$D$2:$D$961,'Promo_Stockout_ Impact'!A35,Calculations!$H$2:$H$961,1)</f>
        <v>0.13025286988020951</v>
      </c>
      <c r="D35" s="26">
        <f>AVERAGEIFS(Calculations!$M$2:$M$961,Calculations!$D$2:$D$961,'Promo_Stockout_ Impact'!A35,Calculations!$H$2:$H$961,0)</f>
        <v>3.8163187709836698E-2</v>
      </c>
      <c r="E35" s="26">
        <f>AVERAGEIFS(Calculations!$M$2:$M$961,Calculations!$D$2:$D$961,'Promo_Stockout_ Impact'!A35,Calculations!$H$2:$H$961,1)</f>
        <v>3.7623110846840745E-2</v>
      </c>
      <c r="F35" s="26">
        <f>IFERROR(SUMIFS(Calculations!J:J,Calculations!D:D,A35,Calculations!H:H,0)/SUMIFS(Calculations!E:E,Calculations!D:D,A35,Calculations!H:H,0),"n/a")</f>
        <v>0.11865148861646235</v>
      </c>
      <c r="G35" s="26">
        <f>IFERROR(SUMIFS(Calculations!J:J,Calculations!D:D,A35,Calculations!H:H,1)/SUMIFS(Calculations!E:E,Calculations!D:D,A35,Calculations!H:H,1),"n/a")</f>
        <v>0.12792297111416781</v>
      </c>
      <c r="H35" s="26">
        <f>IFERROR(SUMIFS(Calculations!L:L,Calculations!D:D,A35,Calculations!H:H,0)/SUMIFS(Calculations!E:E,Calculations!D:D,A35,Calculations!H:H,0),"n/a")</f>
        <v>3.6339754816112083E-2</v>
      </c>
      <c r="I35" s="26">
        <f>IFERROR(SUMIFS(Calculations!L:L,Calculations!D:D,A35,Calculations!H:H,1)/SUMIFS(Calculations!E:E,Calculations!D:D,A35,Calculations!H:H,1),"n/a")</f>
        <v>4.1265474552957357E-2</v>
      </c>
    </row>
    <row r="36" spans="1:9" x14ac:dyDescent="0.35">
      <c r="A36" s="21" t="s">
        <v>33</v>
      </c>
      <c r="B36" s="26">
        <f>AVERAGEIFS(Calculations!$K$2:$K$961,Calculations!$D$2:$D$961,'Promo_Stockout_ Impact'!A36,Calculations!$H$2:$H$961,0)</f>
        <v>0.12095271982339169</v>
      </c>
      <c r="C36" s="26">
        <f>AVERAGEIFS(Calculations!$K$2:$K$961,Calculations!$D$2:$D$961,'Promo_Stockout_ Impact'!A36,Calculations!$H$2:$H$961,1)</f>
        <v>0.10865428668491765</v>
      </c>
      <c r="D36" s="26">
        <f>AVERAGEIFS(Calculations!$M$2:$M$961,Calculations!$D$2:$D$961,'Promo_Stockout_ Impact'!A36,Calculations!$H$2:$H$961,0)</f>
        <v>3.9442905380248153E-2</v>
      </c>
      <c r="E36" s="26">
        <f>AVERAGEIFS(Calculations!$M$2:$M$961,Calculations!$D$2:$D$961,'Promo_Stockout_ Impact'!A36,Calculations!$H$2:$H$961,1)</f>
        <v>4.8489647024332963E-2</v>
      </c>
      <c r="F36" s="26">
        <f>IFERROR(SUMIFS(Calculations!J:J,Calculations!D:D,A36,Calculations!H:H,0)/SUMIFS(Calculations!E:E,Calculations!D:D,A36,Calculations!H:H,0),"n/a")</f>
        <v>0.12920353982300886</v>
      </c>
      <c r="G36" s="26">
        <f>IFERROR(SUMIFS(Calculations!J:J,Calculations!D:D,A36,Calculations!H:H,1)/SUMIFS(Calculations!E:E,Calculations!D:D,A36,Calculations!H:H,1),"n/a")</f>
        <v>0.11608961303462322</v>
      </c>
      <c r="H36" s="26">
        <f>IFERROR(SUMIFS(Calculations!L:L,Calculations!D:D,A36,Calculations!H:H,0)/SUMIFS(Calculations!E:E,Calculations!D:D,A36,Calculations!H:H,0),"n/a")</f>
        <v>3.6814159292035395E-2</v>
      </c>
      <c r="I36" s="26">
        <f>IFERROR(SUMIFS(Calculations!L:L,Calculations!D:D,A36,Calculations!H:H,1)/SUMIFS(Calculations!E:E,Calculations!D:D,A36,Calculations!H:H,1),"n/a")</f>
        <v>5.0916496945010187E-2</v>
      </c>
    </row>
    <row r="37" spans="1:9" x14ac:dyDescent="0.35">
      <c r="A37" s="21" t="s">
        <v>34</v>
      </c>
      <c r="B37" s="26">
        <f>AVERAGEIFS(Calculations!$K$2:$K$961,Calculations!$D$2:$D$961,'Promo_Stockout_ Impact'!A37,Calculations!$H$2:$H$961,0)</f>
        <v>0.1097375588083966</v>
      </c>
      <c r="C37" s="26">
        <f>AVERAGEIFS(Calculations!$K$2:$K$961,Calculations!$D$2:$D$961,'Promo_Stockout_ Impact'!A37,Calculations!$H$2:$H$961,1)</f>
        <v>0.17213570097087841</v>
      </c>
      <c r="D37" s="26">
        <f>AVERAGEIFS(Calculations!$M$2:$M$961,Calculations!$D$2:$D$961,'Promo_Stockout_ Impact'!A37,Calculations!$H$2:$H$961,0)</f>
        <v>4.8792745949919454E-2</v>
      </c>
      <c r="E37" s="26">
        <f>AVERAGEIFS(Calculations!$M$2:$M$961,Calculations!$D$2:$D$961,'Promo_Stockout_ Impact'!A37,Calculations!$H$2:$H$961,1)</f>
        <v>5.1589222853806183E-2</v>
      </c>
      <c r="F37" s="26">
        <f>IFERROR(SUMIFS(Calculations!J:J,Calculations!D:D,A37,Calculations!H:H,0)/SUMIFS(Calculations!E:E,Calculations!D:D,A37,Calculations!H:H,0),"n/a")</f>
        <v>0.10986310986310986</v>
      </c>
      <c r="G37" s="26">
        <f>IFERROR(SUMIFS(Calculations!J:J,Calculations!D:D,A37,Calculations!H:H,1)/SUMIFS(Calculations!E:E,Calculations!D:D,A37,Calculations!H:H,1),"n/a")</f>
        <v>0.16846153846153847</v>
      </c>
      <c r="H37" s="26">
        <f>IFERROR(SUMIFS(Calculations!L:L,Calculations!D:D,A37,Calculations!H:H,0)/SUMIFS(Calculations!E:E,Calculations!D:D,A37,Calculations!H:H,0),"n/a")</f>
        <v>5.0544050544050541E-2</v>
      </c>
      <c r="I37" s="26">
        <f>IFERROR(SUMIFS(Calculations!L:L,Calculations!D:D,A37,Calculations!H:H,1)/SUMIFS(Calculations!E:E,Calculations!D:D,A37,Calculations!H:H,1),"n/a")</f>
        <v>5.153846153846154E-2</v>
      </c>
    </row>
    <row r="38" spans="1:9" x14ac:dyDescent="0.35">
      <c r="A38" s="21" t="s">
        <v>35</v>
      </c>
      <c r="B38" s="26">
        <f>AVERAGEIFS(Calculations!$K$2:$K$961,Calculations!$D$2:$D$961,'Promo_Stockout_ Impact'!A38,Calculations!$H$2:$H$961,0)</f>
        <v>0.1166286558719465</v>
      </c>
      <c r="C38" s="26">
        <f>AVERAGEIFS(Calculations!$K$2:$K$961,Calculations!$D$2:$D$961,'Promo_Stockout_ Impact'!A38,Calculations!$H$2:$H$961,1)</f>
        <v>0.12555489561620845</v>
      </c>
      <c r="D38" s="26">
        <f>AVERAGEIFS(Calculations!$M$2:$M$961,Calculations!$D$2:$D$961,'Promo_Stockout_ Impact'!A38,Calculations!$H$2:$H$961,0)</f>
        <v>4.5864022174621745E-2</v>
      </c>
      <c r="E38" s="26">
        <f>AVERAGEIFS(Calculations!$M$2:$M$961,Calculations!$D$2:$D$961,'Promo_Stockout_ Impact'!A38,Calculations!$H$2:$H$961,1)</f>
        <v>6.0576805683847157E-2</v>
      </c>
      <c r="F38" s="26">
        <f>IFERROR(SUMIFS(Calculations!J:J,Calculations!D:D,A38,Calculations!H:H,0)/SUMIFS(Calculations!E:E,Calculations!D:D,A38,Calculations!H:H,0),"n/a")</f>
        <v>0.11640360766629086</v>
      </c>
      <c r="G38" s="26">
        <f>IFERROR(SUMIFS(Calculations!J:J,Calculations!D:D,A38,Calculations!H:H,1)/SUMIFS(Calculations!E:E,Calculations!D:D,A38,Calculations!H:H,1),"n/a")</f>
        <v>0.11686586985391766</v>
      </c>
      <c r="H38" s="26">
        <f>IFERROR(SUMIFS(Calculations!L:L,Calculations!D:D,A38,Calculations!H:H,0)/SUMIFS(Calculations!E:E,Calculations!D:D,A38,Calculations!H:H,0),"n/a")</f>
        <v>4.4532130777903044E-2</v>
      </c>
      <c r="I38" s="26">
        <f>IFERROR(SUMIFS(Calculations!L:L,Calculations!D:D,A38,Calculations!H:H,1)/SUMIFS(Calculations!E:E,Calculations!D:D,A38,Calculations!H:H,1),"n/a")</f>
        <v>6.2416998671978752E-2</v>
      </c>
    </row>
    <row r="40" spans="1:9" ht="15.5" x14ac:dyDescent="0.45">
      <c r="A40" s="24" t="s">
        <v>84</v>
      </c>
    </row>
    <row r="42" spans="1:9" ht="56.5" x14ac:dyDescent="0.35">
      <c r="A42" s="25" t="s">
        <v>3</v>
      </c>
      <c r="B42" s="25" t="s">
        <v>85</v>
      </c>
      <c r="C42" s="25" t="s">
        <v>86</v>
      </c>
      <c r="D42" s="25" t="s">
        <v>87</v>
      </c>
      <c r="E42" s="25" t="s">
        <v>88</v>
      </c>
      <c r="F42" s="25" t="s">
        <v>89</v>
      </c>
      <c r="G42" s="25" t="s">
        <v>90</v>
      </c>
      <c r="H42" s="25" t="s">
        <v>91</v>
      </c>
      <c r="I42" s="25" t="s">
        <v>92</v>
      </c>
    </row>
    <row r="43" spans="1:9" x14ac:dyDescent="0.35">
      <c r="A43" s="21" t="s">
        <v>12</v>
      </c>
      <c r="B43" s="26">
        <f>AVERAGEIFS(Calculations!$K$2:$K$961,Calculations!$D$2:$D$961,'Promo_Stockout_ Impact'!A43,Calculations!$I$2:$I$961,0)</f>
        <v>0.10667349811037401</v>
      </c>
      <c r="C43" s="26">
        <f>AVERAGEIFS(Calculations!$K$2:$K$961,Calculations!$D$2:$D$961,'Promo_Stockout_ Impact'!A43,Calculations!$I$2:$I$961,1)</f>
        <v>0.1107491381146959</v>
      </c>
      <c r="D43" s="26">
        <f>AVERAGEIFS(Calculations!$M$2:$M$961,Calculations!$D$2:$D$961,'Promo_Stockout_ Impact'!A43,Calculations!$I$2:$I$961,0)</f>
        <v>3.3412406490603244E-2</v>
      </c>
      <c r="E43" s="26">
        <f>AVERAGEIFS(Calculations!$M$2:$M$961,Calculations!$D$2:$D$961,'Promo_Stockout_ Impact'!A43,Calculations!$I$2:$I$961,1)</f>
        <v>4.3650870605647006E-2</v>
      </c>
      <c r="F43" s="26">
        <f>IFERROR(SUMIFS(Calculations!J:J,Calculations!D:D,A43,Calculations!I:I,0)/SUMIFS(Calculations!E:E,Calculations!D:D,A43,Calculations!I:I,0),"n/a")</f>
        <v>0.10160660008684325</v>
      </c>
      <c r="G43" s="26">
        <f>IFERROR(SUMIFS(Calculations!J:J,Calculations!D:D,A43,Calculations!I:I,1)/SUMIFS(Calculations!E:E,Calculations!D:D,A43,Calculations!I:I,1),"n/a")</f>
        <v>0.11633663366336634</v>
      </c>
      <c r="H43" s="26">
        <f>IFERROR(SUMIFS(Calculations!L:L,Calculations!D:D,A43,Calculations!I:I,0)/SUMIFS(Calculations!E:E,Calculations!D:D,A43,Calculations!I:I,0),"n/a")</f>
        <v>2.9309596178897092E-2</v>
      </c>
      <c r="I43" s="26">
        <f>IFERROR(SUMIFS(Calculations!L:L,Calculations!D:D,A43,Calculations!I:I,1)/SUMIFS(Calculations!E:E,Calculations!D:D,A43,Calculations!I:I,1),"n/a")</f>
        <v>3.9603960396039604E-2</v>
      </c>
    </row>
    <row r="44" spans="1:9" x14ac:dyDescent="0.35">
      <c r="A44" s="21" t="s">
        <v>13</v>
      </c>
      <c r="B44" s="26">
        <f>AVERAGEIFS(Calculations!$K$2:$K$961,Calculations!$D$2:$D$961,'Promo_Stockout_ Impact'!A44,Calculations!$I$2:$I$961,0)</f>
        <v>0.10991875700291381</v>
      </c>
      <c r="C44" s="26">
        <f>AVERAGEIFS(Calculations!$K$2:$K$961,Calculations!$D$2:$D$961,'Promo_Stockout_ Impact'!A44,Calculations!$I$2:$I$961,1)</f>
        <v>0.17286289367748048</v>
      </c>
      <c r="D44" s="26">
        <f>AVERAGEIFS(Calculations!$M$2:$M$961,Calculations!$D$2:$D$961,'Promo_Stockout_ Impact'!A44,Calculations!$I$2:$I$961,0)</f>
        <v>4.7844706363385253E-2</v>
      </c>
      <c r="E44" s="26">
        <f>AVERAGEIFS(Calculations!$M$2:$M$961,Calculations!$D$2:$D$961,'Promo_Stockout_ Impact'!A44,Calculations!$I$2:$I$961,1)</f>
        <v>2.9244612834477858E-2</v>
      </c>
      <c r="F44" s="26">
        <f>IFERROR(SUMIFS(Calculations!J:J,Calculations!D:D,A44,Calculations!I:I,0)/SUMIFS(Calculations!E:E,Calculations!D:D,A44,Calculations!I:I,0),"n/a")</f>
        <v>0.11316270566727606</v>
      </c>
      <c r="G44" s="26">
        <f>IFERROR(SUMIFS(Calculations!J:J,Calculations!D:D,A44,Calculations!I:I,1)/SUMIFS(Calculations!E:E,Calculations!D:D,A44,Calculations!I:I,1),"n/a")</f>
        <v>0.15277777777777779</v>
      </c>
      <c r="H44" s="26">
        <f>IFERROR(SUMIFS(Calculations!L:L,Calculations!D:D,A44,Calculations!I:I,0)/SUMIFS(Calculations!E:E,Calculations!D:D,A44,Calculations!I:I,0),"n/a")</f>
        <v>4.6435100548446066E-2</v>
      </c>
      <c r="I44" s="26">
        <f>IFERROR(SUMIFS(Calculations!L:L,Calculations!D:D,A44,Calculations!I:I,1)/SUMIFS(Calculations!E:E,Calculations!D:D,A44,Calculations!I:I,1),"n/a")</f>
        <v>2.0833333333333332E-2</v>
      </c>
    </row>
    <row r="45" spans="1:9" x14ac:dyDescent="0.35">
      <c r="A45" s="21" t="s">
        <v>14</v>
      </c>
      <c r="B45" s="26">
        <f>AVERAGEIFS(Calculations!$K$2:$K$961,Calculations!$D$2:$D$961,'Promo_Stockout_ Impact'!A45,Calculations!$I$2:$I$961,0)</f>
        <v>0.13961736067669375</v>
      </c>
      <c r="C45" s="26">
        <f>AVERAGEIFS(Calculations!$K$2:$K$961,Calculations!$D$2:$D$961,'Promo_Stockout_ Impact'!A45,Calculations!$I$2:$I$961,1)</f>
        <v>0.10576923076923075</v>
      </c>
      <c r="D45" s="26">
        <f>AVERAGEIFS(Calculations!$M$2:$M$961,Calculations!$D$2:$D$961,'Promo_Stockout_ Impact'!A45,Calculations!$I$2:$I$961,0)</f>
        <v>4.3623543350445035E-2</v>
      </c>
      <c r="E45" s="26">
        <f>AVERAGEIFS(Calculations!$M$2:$M$961,Calculations!$D$2:$D$961,'Promo_Stockout_ Impact'!A45,Calculations!$I$2:$I$961,1)</f>
        <v>6.9139194139194143E-2</v>
      </c>
      <c r="F45" s="26">
        <f>IFERROR(SUMIFS(Calculations!J:J,Calculations!D:D,A45,Calculations!I:I,0)/SUMIFS(Calculations!E:E,Calculations!D:D,A45,Calculations!I:I,0),"n/a")</f>
        <v>0.13202247191011235</v>
      </c>
      <c r="G45" s="26">
        <f>IFERROR(SUMIFS(Calculations!J:J,Calculations!D:D,A45,Calculations!I:I,1)/SUMIFS(Calculations!E:E,Calculations!D:D,A45,Calculations!I:I,1),"n/a")</f>
        <v>0.13503649635036497</v>
      </c>
      <c r="H45" s="26">
        <f>IFERROR(SUMIFS(Calculations!L:L,Calculations!D:D,A45,Calculations!I:I,0)/SUMIFS(Calculations!E:E,Calculations!D:D,A45,Calculations!I:I,0),"n/a")</f>
        <v>4.0262172284644196E-2</v>
      </c>
      <c r="I45" s="26">
        <f>IFERROR(SUMIFS(Calculations!L:L,Calculations!D:D,A45,Calculations!I:I,1)/SUMIFS(Calculations!E:E,Calculations!D:D,A45,Calculations!I:I,1),"n/a")</f>
        <v>8.0291970802919707E-2</v>
      </c>
    </row>
    <row r="46" spans="1:9" x14ac:dyDescent="0.35">
      <c r="A46" s="21" t="s">
        <v>15</v>
      </c>
      <c r="B46" s="26">
        <f>AVERAGEIFS(Calculations!$K$2:$K$961,Calculations!$D$2:$D$961,'Promo_Stockout_ Impact'!A46,Calculations!$I$2:$I$961,0)</f>
        <v>0.12574104055181026</v>
      </c>
      <c r="C46" s="26">
        <f>AVERAGEIFS(Calculations!$K$2:$K$961,Calculations!$D$2:$D$961,'Promo_Stockout_ Impact'!A46,Calculations!$I$2:$I$961,1)</f>
        <v>7.6628989361702121E-2</v>
      </c>
      <c r="D46" s="26">
        <f>AVERAGEIFS(Calculations!$M$2:$M$961,Calculations!$D$2:$D$961,'Promo_Stockout_ Impact'!A46,Calculations!$I$2:$I$961,0)</f>
        <v>4.1050734025548312E-2</v>
      </c>
      <c r="E46" s="26">
        <f>AVERAGEIFS(Calculations!$M$2:$M$961,Calculations!$D$2:$D$961,'Promo_Stockout_ Impact'!A46,Calculations!$I$2:$I$961,1)</f>
        <v>4.4381648936170214E-2</v>
      </c>
      <c r="F46" s="26">
        <f>IFERROR(SUMIFS(Calculations!J:J,Calculations!D:D,A46,Calculations!I:I,0)/SUMIFS(Calculations!E:E,Calculations!D:D,A46,Calculations!I:I,0),"n/a")</f>
        <v>0.13717805151175813</v>
      </c>
      <c r="G46" s="26">
        <f>IFERROR(SUMIFS(Calculations!J:J,Calculations!D:D,A46,Calculations!I:I,1)/SUMIFS(Calculations!E:E,Calculations!D:D,A46,Calculations!I:I,1),"n/a")</f>
        <v>8.2278481012658222E-2</v>
      </c>
      <c r="H46" s="26">
        <f>IFERROR(SUMIFS(Calculations!L:L,Calculations!D:D,A46,Calculations!I:I,0)/SUMIFS(Calculations!E:E,Calculations!D:D,A46,Calculations!I:I,0),"n/a")</f>
        <v>4.0500186636804776E-2</v>
      </c>
      <c r="I46" s="26">
        <f>IFERROR(SUMIFS(Calculations!L:L,Calculations!D:D,A46,Calculations!I:I,1)/SUMIFS(Calculations!E:E,Calculations!D:D,A46,Calculations!I:I,1),"n/a")</f>
        <v>3.7974683544303799E-2</v>
      </c>
    </row>
    <row r="47" spans="1:9" x14ac:dyDescent="0.35">
      <c r="A47" s="21" t="s">
        <v>16</v>
      </c>
      <c r="B47" s="26">
        <f>AVERAGEIFS(Calculations!$K$2:$K$961,Calculations!$D$2:$D$961,'Promo_Stockout_ Impact'!A47,Calculations!$I$2:$I$961,0)</f>
        <v>0.13061691710437248</v>
      </c>
      <c r="C47" s="26">
        <f>AVERAGEIFS(Calculations!$K$2:$K$961,Calculations!$D$2:$D$961,'Promo_Stockout_ Impact'!A47,Calculations!$I$2:$I$961,1)</f>
        <v>2.0317656765676567E-2</v>
      </c>
      <c r="D47" s="26">
        <f>AVERAGEIFS(Calculations!$M$2:$M$961,Calculations!$D$2:$D$961,'Promo_Stockout_ Impact'!A47,Calculations!$I$2:$I$961,0)</f>
        <v>4.4656258044892747E-2</v>
      </c>
      <c r="E47" s="26">
        <f>AVERAGEIFS(Calculations!$M$2:$M$961,Calculations!$D$2:$D$961,'Promo_Stockout_ Impact'!A47,Calculations!$I$2:$I$961,1)</f>
        <v>3.6819306930693067E-2</v>
      </c>
      <c r="F47" s="26">
        <f>IFERROR(SUMIFS(Calculations!J:J,Calculations!D:D,A47,Calculations!I:I,0)/SUMIFS(Calculations!E:E,Calculations!D:D,A47,Calculations!I:I,0),"n/a")</f>
        <v>0.12590361445783133</v>
      </c>
      <c r="G47" s="26">
        <f>IFERROR(SUMIFS(Calculations!J:J,Calculations!D:D,A47,Calculations!I:I,1)/SUMIFS(Calculations!E:E,Calculations!D:D,A47,Calculations!I:I,1),"n/a")</f>
        <v>1.7094017094017096E-2</v>
      </c>
      <c r="H47" s="26">
        <f>IFERROR(SUMIFS(Calculations!L:L,Calculations!D:D,A47,Calculations!I:I,0)/SUMIFS(Calculations!E:E,Calculations!D:D,A47,Calculations!I:I,0),"n/a")</f>
        <v>4.3975903614457829E-2</v>
      </c>
      <c r="I47" s="26">
        <f>IFERROR(SUMIFS(Calculations!L:L,Calculations!D:D,A47,Calculations!I:I,1)/SUMIFS(Calculations!E:E,Calculations!D:D,A47,Calculations!I:I,1),"n/a")</f>
        <v>3.8461538461538464E-2</v>
      </c>
    </row>
    <row r="48" spans="1:9" x14ac:dyDescent="0.35">
      <c r="A48" s="21" t="s">
        <v>17</v>
      </c>
      <c r="B48" s="26">
        <f>AVERAGEIFS(Calculations!$K$2:$K$961,Calculations!$D$2:$D$961,'Promo_Stockout_ Impact'!A48,Calculations!$I$2:$I$961,0)</f>
        <v>0.10677406832328154</v>
      </c>
      <c r="C48" s="26">
        <f>AVERAGEIFS(Calculations!$K$2:$K$961,Calculations!$D$2:$D$961,'Promo_Stockout_ Impact'!A48,Calculations!$I$2:$I$961,1)</f>
        <v>8.8898104836936248E-2</v>
      </c>
      <c r="D48" s="26">
        <f>AVERAGEIFS(Calculations!$M$2:$M$961,Calculations!$D$2:$D$961,'Promo_Stockout_ Impact'!A48,Calculations!$I$2:$I$961,0)</f>
        <v>4.9415553259784924E-2</v>
      </c>
      <c r="E48" s="26">
        <f>AVERAGEIFS(Calculations!$M$2:$M$961,Calculations!$D$2:$D$961,'Promo_Stockout_ Impact'!A48,Calculations!$I$2:$I$961,1)</f>
        <v>1.2092074592074592E-2</v>
      </c>
      <c r="F48" s="26">
        <f>IFERROR(SUMIFS(Calculations!J:J,Calculations!D:D,A48,Calculations!I:I,0)/SUMIFS(Calculations!E:E,Calculations!D:D,A48,Calculations!I:I,0),"n/a")</f>
        <v>0.11417926802542187</v>
      </c>
      <c r="G48" s="26">
        <f>IFERROR(SUMIFS(Calculations!J:J,Calculations!D:D,A48,Calculations!I:I,1)/SUMIFS(Calculations!E:E,Calculations!D:D,A48,Calculations!I:I,1),"n/a")</f>
        <v>8.3832335329341312E-2</v>
      </c>
      <c r="H48" s="26">
        <f>IFERROR(SUMIFS(Calculations!L:L,Calculations!D:D,A48,Calculations!I:I,0)/SUMIFS(Calculations!E:E,Calculations!D:D,A48,Calculations!I:I,0),"n/a")</f>
        <v>5.3035283804514576E-2</v>
      </c>
      <c r="I48" s="26">
        <f>IFERROR(SUMIFS(Calculations!L:L,Calculations!D:D,A48,Calculations!I:I,1)/SUMIFS(Calculations!E:E,Calculations!D:D,A48,Calculations!I:I,1),"n/a")</f>
        <v>1.1976047904191617E-2</v>
      </c>
    </row>
    <row r="49" spans="1:9" x14ac:dyDescent="0.35">
      <c r="A49" s="21" t="s">
        <v>18</v>
      </c>
      <c r="B49" s="26">
        <f>AVERAGEIFS(Calculations!$K$2:$K$961,Calculations!$D$2:$D$961,'Promo_Stockout_ Impact'!A49,Calculations!$I$2:$I$961,0)</f>
        <v>0.11918995767535312</v>
      </c>
      <c r="C49" s="26">
        <f>AVERAGEIFS(Calculations!$K$2:$K$961,Calculations!$D$2:$D$961,'Promo_Stockout_ Impact'!A49,Calculations!$I$2:$I$961,1)</f>
        <v>0.15825617283950619</v>
      </c>
      <c r="D49" s="26">
        <f>AVERAGEIFS(Calculations!$M$2:$M$961,Calculations!$D$2:$D$961,'Promo_Stockout_ Impact'!A49,Calculations!$I$2:$I$961,0)</f>
        <v>4.2318703300549362E-2</v>
      </c>
      <c r="E49" s="26">
        <f>AVERAGEIFS(Calculations!$M$2:$M$961,Calculations!$D$2:$D$961,'Promo_Stockout_ Impact'!A49,Calculations!$I$2:$I$961,1)</f>
        <v>4.3055555555555548E-2</v>
      </c>
      <c r="F49" s="26">
        <f>IFERROR(SUMIFS(Calculations!J:J,Calculations!D:D,A49,Calculations!I:I,0)/SUMIFS(Calculations!E:E,Calculations!D:D,A49,Calculations!I:I,0),"n/a")</f>
        <v>0.12127091923356779</v>
      </c>
      <c r="G49" s="26">
        <f>IFERROR(SUMIFS(Calculations!J:J,Calculations!D:D,A49,Calculations!I:I,1)/SUMIFS(Calculations!E:E,Calculations!D:D,A49,Calculations!I:I,1),"n/a")</f>
        <v>0.15730337078651685</v>
      </c>
      <c r="H49" s="26">
        <f>IFERROR(SUMIFS(Calculations!L:L,Calculations!D:D,A49,Calculations!I:I,0)/SUMIFS(Calculations!E:E,Calculations!D:D,A49,Calculations!I:I,0),"n/a")</f>
        <v>4.220227989328159E-2</v>
      </c>
      <c r="I49" s="26">
        <f>IFERROR(SUMIFS(Calculations!L:L,Calculations!D:D,A49,Calculations!I:I,1)/SUMIFS(Calculations!E:E,Calculations!D:D,A49,Calculations!I:I,1),"n/a")</f>
        <v>4.49438202247191E-2</v>
      </c>
    </row>
    <row r="50" spans="1:9" x14ac:dyDescent="0.35">
      <c r="A50" s="21" t="s">
        <v>19</v>
      </c>
      <c r="B50" s="26">
        <f>AVERAGEIFS(Calculations!$K$2:$K$961,Calculations!$D$2:$D$961,'Promo_Stockout_ Impact'!A50,Calculations!$I$2:$I$961,0)</f>
        <v>0.10281903124236336</v>
      </c>
      <c r="C50" s="26">
        <f>AVERAGEIFS(Calculations!$K$2:$K$961,Calculations!$D$2:$D$961,'Promo_Stockout_ Impact'!A50,Calculations!$I$2:$I$961,1)</f>
        <v>3.5181704260651626E-2</v>
      </c>
      <c r="D50" s="26">
        <f>AVERAGEIFS(Calculations!$M$2:$M$961,Calculations!$D$2:$D$961,'Promo_Stockout_ Impact'!A50,Calculations!$I$2:$I$961,0)</f>
        <v>3.8619959986018443E-2</v>
      </c>
      <c r="E50" s="26">
        <f>AVERAGEIFS(Calculations!$M$2:$M$961,Calculations!$D$2:$D$961,'Promo_Stockout_ Impact'!A50,Calculations!$I$2:$I$961,1)</f>
        <v>4.4528551107498475E-2</v>
      </c>
      <c r="F50" s="26">
        <f>IFERROR(SUMIFS(Calculations!J:J,Calculations!D:D,A50,Calculations!I:I,0)/SUMIFS(Calculations!E:E,Calculations!D:D,A50,Calculations!I:I,0),"n/a")</f>
        <v>0.10057708161582853</v>
      </c>
      <c r="G50" s="26">
        <f>IFERROR(SUMIFS(Calculations!J:J,Calculations!D:D,A50,Calculations!I:I,1)/SUMIFS(Calculations!E:E,Calculations!D:D,A50,Calculations!I:I,1),"n/a")</f>
        <v>3.4883720930232558E-2</v>
      </c>
      <c r="H50" s="26">
        <f>IFERROR(SUMIFS(Calculations!L:L,Calculations!D:D,A50,Calculations!I:I,0)/SUMIFS(Calculations!E:E,Calculations!D:D,A50,Calculations!I:I,0),"n/a")</f>
        <v>3.8746908491343775E-2</v>
      </c>
      <c r="I50" s="26">
        <f>IFERROR(SUMIFS(Calculations!L:L,Calculations!D:D,A50,Calculations!I:I,1)/SUMIFS(Calculations!E:E,Calculations!D:D,A50,Calculations!I:I,1),"n/a")</f>
        <v>4.0697674418604654E-2</v>
      </c>
    </row>
    <row r="51" spans="1:9" x14ac:dyDescent="0.35">
      <c r="A51" s="21" t="s">
        <v>20</v>
      </c>
      <c r="B51" s="26">
        <f>AVERAGEIFS(Calculations!$K$2:$K$961,Calculations!$D$2:$D$961,'Promo_Stockout_ Impact'!A51,Calculations!$I$2:$I$961,0)</f>
        <v>0.11946237436037387</v>
      </c>
      <c r="C51" s="26">
        <f>AVERAGEIFS(Calculations!$K$2:$K$961,Calculations!$D$2:$D$961,'Promo_Stockout_ Impact'!A51,Calculations!$I$2:$I$961,1)</f>
        <v>7.6923076923076927E-2</v>
      </c>
      <c r="D51" s="26">
        <f>AVERAGEIFS(Calculations!$M$2:$M$961,Calculations!$D$2:$D$961,'Promo_Stockout_ Impact'!A51,Calculations!$I$2:$I$961,0)</f>
        <v>4.1392807546854336E-2</v>
      </c>
      <c r="E51" s="26">
        <f>AVERAGEIFS(Calculations!$M$2:$M$961,Calculations!$D$2:$D$961,'Promo_Stockout_ Impact'!A51,Calculations!$I$2:$I$961,1)</f>
        <v>0</v>
      </c>
      <c r="F51" s="26">
        <f>IFERROR(SUMIFS(Calculations!J:J,Calculations!D:D,A51,Calculations!I:I,0)/SUMIFS(Calculations!E:E,Calculations!D:D,A51,Calculations!I:I,0),"n/a")</f>
        <v>0.12423155737704918</v>
      </c>
      <c r="G51" s="26">
        <f>IFERROR(SUMIFS(Calculations!J:J,Calculations!D:D,A51,Calculations!I:I,1)/SUMIFS(Calculations!E:E,Calculations!D:D,A51,Calculations!I:I,1),"n/a")</f>
        <v>7.6923076923076927E-2</v>
      </c>
      <c r="H51" s="26">
        <f>IFERROR(SUMIFS(Calculations!L:L,Calculations!D:D,A51,Calculations!I:I,0)/SUMIFS(Calculations!E:E,Calculations!D:D,A51,Calculations!I:I,0),"n/a")</f>
        <v>4.149590163934426E-2</v>
      </c>
      <c r="I51" s="26">
        <f>IFERROR(SUMIFS(Calculations!L:L,Calculations!D:D,A51,Calculations!I:I,1)/SUMIFS(Calculations!E:E,Calculations!D:D,A51,Calculations!I:I,1),"n/a")</f>
        <v>0</v>
      </c>
    </row>
    <row r="52" spans="1:9" x14ac:dyDescent="0.35">
      <c r="A52" s="21" t="s">
        <v>21</v>
      </c>
      <c r="B52" s="26">
        <f>AVERAGEIFS(Calculations!$K$2:$K$961,Calculations!$D$2:$D$961,'Promo_Stockout_ Impact'!A52,Calculations!$I$2:$I$961,0)</f>
        <v>0.1252594262957212</v>
      </c>
      <c r="C52" s="26">
        <f>AVERAGEIFS(Calculations!$K$2:$K$961,Calculations!$D$2:$D$961,'Promo_Stockout_ Impact'!A52,Calculations!$I$2:$I$961,1)</f>
        <v>4.601723413198823E-2</v>
      </c>
      <c r="D52" s="26">
        <f>AVERAGEIFS(Calculations!$M$2:$M$961,Calculations!$D$2:$D$961,'Promo_Stockout_ Impact'!A52,Calculations!$I$2:$I$961,0)</f>
        <v>4.2154006641969152E-2</v>
      </c>
      <c r="E52" s="26">
        <f>AVERAGEIFS(Calculations!$M$2:$M$961,Calculations!$D$2:$D$961,'Promo_Stockout_ Impact'!A52,Calculations!$I$2:$I$961,1)</f>
        <v>6.3713745271122321E-2</v>
      </c>
      <c r="F52" s="26">
        <f>IFERROR(SUMIFS(Calculations!J:J,Calculations!D:D,A52,Calculations!I:I,0)/SUMIFS(Calculations!E:E,Calculations!D:D,A52,Calculations!I:I,0),"n/a")</f>
        <v>0.12709030100334448</v>
      </c>
      <c r="G52" s="26">
        <f>IFERROR(SUMIFS(Calculations!J:J,Calculations!D:D,A52,Calculations!I:I,1)/SUMIFS(Calculations!E:E,Calculations!D:D,A52,Calculations!I:I,1),"n/a")</f>
        <v>4.9261083743842367E-2</v>
      </c>
      <c r="H52" s="26">
        <f>IFERROR(SUMIFS(Calculations!L:L,Calculations!D:D,A52,Calculations!I:I,0)/SUMIFS(Calculations!E:E,Calculations!D:D,A52,Calculations!I:I,0),"n/a")</f>
        <v>4.5707915273132664E-2</v>
      </c>
      <c r="I52" s="26">
        <f>IFERROR(SUMIFS(Calculations!L:L,Calculations!D:D,A52,Calculations!I:I,1)/SUMIFS(Calculations!E:E,Calculations!D:D,A52,Calculations!I:I,1),"n/a")</f>
        <v>5.4187192118226604E-2</v>
      </c>
    </row>
    <row r="53" spans="1:9" x14ac:dyDescent="0.35">
      <c r="A53" s="21" t="s">
        <v>22</v>
      </c>
      <c r="B53" s="26">
        <f>AVERAGEIFS(Calculations!$K$2:$K$961,Calculations!$D$2:$D$961,'Promo_Stockout_ Impact'!A53,Calculations!$I$2:$I$961,0)</f>
        <v>0.11192768206563843</v>
      </c>
      <c r="C53" s="26">
        <f>AVERAGEIFS(Calculations!$K$2:$K$961,Calculations!$D$2:$D$961,'Promo_Stockout_ Impact'!A53,Calculations!$I$2:$I$961,1)</f>
        <v>0.1517578547612369</v>
      </c>
      <c r="D53" s="26">
        <f>AVERAGEIFS(Calculations!$M$2:$M$961,Calculations!$D$2:$D$961,'Promo_Stockout_ Impact'!A53,Calculations!$I$2:$I$961,0)</f>
        <v>4.5528914602050718E-2</v>
      </c>
      <c r="E53" s="26">
        <f>AVERAGEIFS(Calculations!$M$2:$M$961,Calculations!$D$2:$D$961,'Promo_Stockout_ Impact'!A53,Calculations!$I$2:$I$961,1)</f>
        <v>6.4826664674931908E-2</v>
      </c>
      <c r="F53" s="26">
        <f>IFERROR(SUMIFS(Calculations!J:J,Calculations!D:D,A53,Calculations!I:I,0)/SUMIFS(Calculations!E:E,Calculations!D:D,A53,Calculations!I:I,0),"n/a")</f>
        <v>0.10875034945485043</v>
      </c>
      <c r="G53" s="26">
        <f>IFERROR(SUMIFS(Calculations!J:J,Calculations!D:D,A53,Calculations!I:I,1)/SUMIFS(Calculations!E:E,Calculations!D:D,A53,Calculations!I:I,1),"n/a")</f>
        <v>0.16137566137566137</v>
      </c>
      <c r="H53" s="26">
        <f>IFERROR(SUMIFS(Calculations!L:L,Calculations!D:D,A53,Calculations!I:I,0)/SUMIFS(Calculations!E:E,Calculations!D:D,A53,Calculations!I:I,0),"n/a")</f>
        <v>5.060106234274532E-2</v>
      </c>
      <c r="I53" s="26">
        <f>IFERROR(SUMIFS(Calculations!L:L,Calculations!D:D,A53,Calculations!I:I,1)/SUMIFS(Calculations!E:E,Calculations!D:D,A53,Calculations!I:I,1),"n/a")</f>
        <v>6.0846560846560843E-2</v>
      </c>
    </row>
    <row r="54" spans="1:9" x14ac:dyDescent="0.35">
      <c r="A54" s="21" t="s">
        <v>23</v>
      </c>
      <c r="B54" s="26">
        <f>AVERAGEIFS(Calculations!$K$2:$K$961,Calculations!$D$2:$D$961,'Promo_Stockout_ Impact'!A54,Calculations!$I$2:$I$961,0)</f>
        <v>0.12994854283295001</v>
      </c>
      <c r="C54" s="26">
        <f>AVERAGEIFS(Calculations!$K$2:$K$961,Calculations!$D$2:$D$961,'Promo_Stockout_ Impact'!A54,Calculations!$I$2:$I$961,1)</f>
        <v>0.10861938191175298</v>
      </c>
      <c r="D54" s="26">
        <f>AVERAGEIFS(Calculations!$M$2:$M$961,Calculations!$D$2:$D$961,'Promo_Stockout_ Impact'!A54,Calculations!$I$2:$I$961,0)</f>
        <v>4.2596337920536201E-2</v>
      </c>
      <c r="E54" s="26">
        <f>AVERAGEIFS(Calculations!$M$2:$M$961,Calculations!$D$2:$D$961,'Promo_Stockout_ Impact'!A54,Calculations!$I$2:$I$961,1)</f>
        <v>3.8423259311966065E-2</v>
      </c>
      <c r="F54" s="26">
        <f>IFERROR(SUMIFS(Calculations!J:J,Calculations!D:D,A54,Calculations!I:I,0)/SUMIFS(Calculations!E:E,Calculations!D:D,A54,Calculations!I:I,0),"n/a")</f>
        <v>0.12450082217524078</v>
      </c>
      <c r="G54" s="26">
        <f>IFERROR(SUMIFS(Calculations!J:J,Calculations!D:D,A54,Calculations!I:I,1)/SUMIFS(Calculations!E:E,Calculations!D:D,A54,Calculations!I:I,1),"n/a")</f>
        <v>9.9431818181818177E-2</v>
      </c>
      <c r="H54" s="26">
        <f>IFERROR(SUMIFS(Calculations!L:L,Calculations!D:D,A54,Calculations!I:I,0)/SUMIFS(Calculations!E:E,Calculations!D:D,A54,Calculations!I:I,0),"n/a")</f>
        <v>4.4867277425416963E-2</v>
      </c>
      <c r="I54" s="26">
        <f>IFERROR(SUMIFS(Calculations!L:L,Calculations!D:D,A54,Calculations!I:I,1)/SUMIFS(Calculations!E:E,Calculations!D:D,A54,Calculations!I:I,1),"n/a")</f>
        <v>3.125E-2</v>
      </c>
    </row>
    <row r="55" spans="1:9" x14ac:dyDescent="0.35">
      <c r="A55" s="21" t="s">
        <v>24</v>
      </c>
      <c r="B55" s="26">
        <f>AVERAGEIFS(Calculations!$K$2:$K$961,Calculations!$D$2:$D$961,'Promo_Stockout_ Impact'!A55,Calculations!$I$2:$I$961,0)</f>
        <v>0.1210030057313829</v>
      </c>
      <c r="C55" s="26" t="e">
        <f>AVERAGEIFS(Calculations!$K$2:$K$961,Calculations!$D$2:$D$961,'Promo_Stockout_ Impact'!A55,Calculations!$I$2:$I$961,1)</f>
        <v>#DIV/0!</v>
      </c>
      <c r="D55" s="26">
        <f>AVERAGEIFS(Calculations!$M$2:$M$961,Calculations!$D$2:$D$961,'Promo_Stockout_ Impact'!A55,Calculations!$I$2:$I$961,0)</f>
        <v>4.8846825216084508E-2</v>
      </c>
      <c r="E55" s="26" t="e">
        <f>AVERAGEIFS(Calculations!$M$2:$M$961,Calculations!$D$2:$D$961,'Promo_Stockout_ Impact'!A55,Calculations!$I$2:$I$961,1)</f>
        <v>#DIV/0!</v>
      </c>
      <c r="F55" s="26">
        <f>IFERROR(SUMIFS(Calculations!J:J,Calculations!D:D,A55,Calculations!I:I,0)/SUMIFS(Calculations!E:E,Calculations!D:D,A55,Calculations!I:I,0),"n/a")</f>
        <v>0.12241018817715263</v>
      </c>
      <c r="G55" s="26" t="str">
        <f>IFERROR(SUMIFS(Calculations!J:J,Calculations!D:D,A55,Calculations!I:I,1)/SUMIFS(Calculations!E:E,Calculations!D:D,A55,Calculations!I:I,1),"n/a")</f>
        <v>n/a</v>
      </c>
      <c r="H55" s="26">
        <f>IFERROR(SUMIFS(Calculations!L:L,Calculations!D:D,A55,Calculations!I:I,0)/SUMIFS(Calculations!E:E,Calculations!D:D,A55,Calculations!I:I,0),"n/a")</f>
        <v>4.8850028511689791E-2</v>
      </c>
      <c r="I55" s="26" t="str">
        <f>IFERROR(SUMIFS(Calculations!L:L,Calculations!D:D,A55,Calculations!I:I,1)/SUMIFS(Calculations!E:E,Calculations!D:D,A55,Calculations!I:I,1),"n/a")</f>
        <v>n/a</v>
      </c>
    </row>
    <row r="56" spans="1:9" x14ac:dyDescent="0.35">
      <c r="A56" s="21" t="s">
        <v>25</v>
      </c>
      <c r="B56" s="26">
        <f>AVERAGEIFS(Calculations!$K$2:$K$961,Calculations!$D$2:$D$961,'Promo_Stockout_ Impact'!A56,Calculations!$I$2:$I$961,0)</f>
        <v>0.1220689379764071</v>
      </c>
      <c r="C56" s="26">
        <f>AVERAGEIFS(Calculations!$K$2:$K$961,Calculations!$D$2:$D$961,'Promo_Stockout_ Impact'!A56,Calculations!$I$2:$I$961,1)</f>
        <v>8.7491337491337501E-2</v>
      </c>
      <c r="D56" s="26">
        <f>AVERAGEIFS(Calculations!$M$2:$M$961,Calculations!$D$2:$D$961,'Promo_Stockout_ Impact'!A56,Calculations!$I$2:$I$961,0)</f>
        <v>4.2381166986043196E-2</v>
      </c>
      <c r="E56" s="26">
        <f>AVERAGEIFS(Calculations!$M$2:$M$961,Calculations!$D$2:$D$961,'Promo_Stockout_ Impact'!A56,Calculations!$I$2:$I$961,1)</f>
        <v>4.5911295911295912E-2</v>
      </c>
      <c r="F56" s="26">
        <f>IFERROR(SUMIFS(Calculations!J:J,Calculations!D:D,A56,Calculations!I:I,0)/SUMIFS(Calculations!E:E,Calculations!D:D,A56,Calculations!I:I,0),"n/a")</f>
        <v>0.12902019446522064</v>
      </c>
      <c r="G56" s="26">
        <f>IFERROR(SUMIFS(Calculations!J:J,Calculations!D:D,A56,Calculations!I:I,1)/SUMIFS(Calculations!E:E,Calculations!D:D,A56,Calculations!I:I,1),"n/a")</f>
        <v>8.5526315789473686E-2</v>
      </c>
      <c r="H56" s="26">
        <f>IFERROR(SUMIFS(Calculations!L:L,Calculations!D:D,A56,Calculations!I:I,0)/SUMIFS(Calculations!E:E,Calculations!D:D,A56,Calculations!I:I,0),"n/a")</f>
        <v>4.1697830964846673E-2</v>
      </c>
      <c r="I56" s="26">
        <f>IFERROR(SUMIFS(Calculations!L:L,Calculations!D:D,A56,Calculations!I:I,1)/SUMIFS(Calculations!E:E,Calculations!D:D,A56,Calculations!I:I,1),"n/a")</f>
        <v>4.6052631578947366E-2</v>
      </c>
    </row>
    <row r="57" spans="1:9" x14ac:dyDescent="0.35">
      <c r="A57" s="21" t="s">
        <v>26</v>
      </c>
      <c r="B57" s="26">
        <f>AVERAGEIFS(Calculations!$K$2:$K$961,Calculations!$D$2:$D$961,'Promo_Stockout_ Impact'!A57,Calculations!$I$2:$I$961,0)</f>
        <v>9.6640960678372384E-2</v>
      </c>
      <c r="C57" s="26">
        <f>AVERAGEIFS(Calculations!$K$2:$K$961,Calculations!$D$2:$D$961,'Promo_Stockout_ Impact'!A57,Calculations!$I$2:$I$961,1)</f>
        <v>0.02</v>
      </c>
      <c r="D57" s="26">
        <f>AVERAGEIFS(Calculations!$M$2:$M$961,Calculations!$D$2:$D$961,'Promo_Stockout_ Impact'!A57,Calculations!$I$2:$I$961,0)</f>
        <v>4.0148647096097077E-2</v>
      </c>
      <c r="E57" s="26">
        <f>AVERAGEIFS(Calculations!$M$2:$M$961,Calculations!$D$2:$D$961,'Promo_Stockout_ Impact'!A57,Calculations!$I$2:$I$961,1)</f>
        <v>0.02</v>
      </c>
      <c r="F57" s="26">
        <f>IFERROR(SUMIFS(Calculations!J:J,Calculations!D:D,A57,Calculations!I:I,0)/SUMIFS(Calculations!E:E,Calculations!D:D,A57,Calculations!I:I,0),"n/a")</f>
        <v>0.10376381215469613</v>
      </c>
      <c r="G57" s="26">
        <f>IFERROR(SUMIFS(Calculations!J:J,Calculations!D:D,A57,Calculations!I:I,1)/SUMIFS(Calculations!E:E,Calculations!D:D,A57,Calculations!I:I,1),"n/a")</f>
        <v>0.02</v>
      </c>
      <c r="H57" s="26">
        <f>IFERROR(SUMIFS(Calculations!L:L,Calculations!D:D,A57,Calculations!I:I,0)/SUMIFS(Calculations!E:E,Calculations!D:D,A57,Calculations!I:I,0),"n/a")</f>
        <v>4.074585635359116E-2</v>
      </c>
      <c r="I57" s="26">
        <f>IFERROR(SUMIFS(Calculations!L:L,Calculations!D:D,A57,Calculations!I:I,1)/SUMIFS(Calculations!E:E,Calculations!D:D,A57,Calculations!I:I,1),"n/a")</f>
        <v>0.02</v>
      </c>
    </row>
    <row r="58" spans="1:9" x14ac:dyDescent="0.35">
      <c r="A58" s="21" t="s">
        <v>27</v>
      </c>
      <c r="B58" s="26">
        <f>AVERAGEIFS(Calculations!$K$2:$K$961,Calculations!$D$2:$D$961,'Promo_Stockout_ Impact'!A58,Calculations!$I$2:$I$961,0)</f>
        <v>0.13232022823934539</v>
      </c>
      <c r="C58" s="26">
        <f>AVERAGEIFS(Calculations!$K$2:$K$961,Calculations!$D$2:$D$961,'Promo_Stockout_ Impact'!A58,Calculations!$I$2:$I$961,1)</f>
        <v>5.1020408163265307E-2</v>
      </c>
      <c r="D58" s="26">
        <f>AVERAGEIFS(Calculations!$M$2:$M$961,Calculations!$D$2:$D$961,'Promo_Stockout_ Impact'!A58,Calculations!$I$2:$I$961,0)</f>
        <v>4.8614912437308991E-2</v>
      </c>
      <c r="E58" s="26">
        <f>AVERAGEIFS(Calculations!$M$2:$M$961,Calculations!$D$2:$D$961,'Promo_Stockout_ Impact'!A58,Calculations!$I$2:$I$961,1)</f>
        <v>0</v>
      </c>
      <c r="F58" s="26">
        <f>IFERROR(SUMIFS(Calculations!J:J,Calculations!D:D,A58,Calculations!I:I,0)/SUMIFS(Calculations!E:E,Calculations!D:D,A58,Calculations!I:I,0),"n/a")</f>
        <v>0.14130434782608695</v>
      </c>
      <c r="G58" s="26">
        <f>IFERROR(SUMIFS(Calculations!J:J,Calculations!D:D,A58,Calculations!I:I,1)/SUMIFS(Calculations!E:E,Calculations!D:D,A58,Calculations!I:I,1),"n/a")</f>
        <v>5.1020408163265307E-2</v>
      </c>
      <c r="H58" s="26">
        <f>IFERROR(SUMIFS(Calculations!L:L,Calculations!D:D,A58,Calculations!I:I,0)/SUMIFS(Calculations!E:E,Calculations!D:D,A58,Calculations!I:I,0),"n/a")</f>
        <v>5.2536231884057968E-2</v>
      </c>
      <c r="I58" s="26">
        <f>IFERROR(SUMIFS(Calculations!L:L,Calculations!D:D,A58,Calculations!I:I,1)/SUMIFS(Calculations!E:E,Calculations!D:D,A58,Calculations!I:I,1),"n/a")</f>
        <v>0</v>
      </c>
    </row>
    <row r="59" spans="1:9" x14ac:dyDescent="0.35">
      <c r="A59" s="21" t="s">
        <v>28</v>
      </c>
      <c r="B59" s="26">
        <f>AVERAGEIFS(Calculations!$K$2:$K$961,Calculations!$D$2:$D$961,'Promo_Stockout_ Impact'!A59,Calculations!$I$2:$I$961,0)</f>
        <v>0.12586678647775348</v>
      </c>
      <c r="C59" s="26">
        <f>AVERAGEIFS(Calculations!$K$2:$K$961,Calculations!$D$2:$D$961,'Promo_Stockout_ Impact'!A59,Calculations!$I$2:$I$961,1)</f>
        <v>0.19697142603546544</v>
      </c>
      <c r="D59" s="26">
        <f>AVERAGEIFS(Calculations!$M$2:$M$961,Calculations!$D$2:$D$961,'Promo_Stockout_ Impact'!A59,Calculations!$I$2:$I$961,0)</f>
        <v>4.403784522035311E-2</v>
      </c>
      <c r="E59" s="26">
        <f>AVERAGEIFS(Calculations!$M$2:$M$961,Calculations!$D$2:$D$961,'Promo_Stockout_ Impact'!A59,Calculations!$I$2:$I$961,1)</f>
        <v>7.4802459038912236E-2</v>
      </c>
      <c r="F59" s="26">
        <f>IFERROR(SUMIFS(Calculations!J:J,Calculations!D:D,A59,Calculations!I:I,0)/SUMIFS(Calculations!E:E,Calculations!D:D,A59,Calculations!I:I,0),"n/a")</f>
        <v>0.12322375397667021</v>
      </c>
      <c r="G59" s="26">
        <f>IFERROR(SUMIFS(Calculations!J:J,Calculations!D:D,A59,Calculations!I:I,1)/SUMIFS(Calculations!E:E,Calculations!D:D,A59,Calculations!I:I,1),"n/a")</f>
        <v>0.19498607242339833</v>
      </c>
      <c r="H59" s="26">
        <f>IFERROR(SUMIFS(Calculations!L:L,Calculations!D:D,A59,Calculations!I:I,0)/SUMIFS(Calculations!E:E,Calculations!D:D,A59,Calculations!I:I,0),"n/a")</f>
        <v>4.8356309650053025E-2</v>
      </c>
      <c r="I59" s="26">
        <f>IFERROR(SUMIFS(Calculations!L:L,Calculations!D:D,A59,Calculations!I:I,1)/SUMIFS(Calculations!E:E,Calculations!D:D,A59,Calculations!I:I,1),"n/a")</f>
        <v>7.7994428969359333E-2</v>
      </c>
    </row>
    <row r="60" spans="1:9" x14ac:dyDescent="0.35">
      <c r="A60" s="21" t="s">
        <v>29</v>
      </c>
      <c r="B60" s="26">
        <f>AVERAGEIFS(Calculations!$K$2:$K$961,Calculations!$D$2:$D$961,'Promo_Stockout_ Impact'!A60,Calculations!$I$2:$I$961,0)</f>
        <v>0.10984633745742239</v>
      </c>
      <c r="C60" s="26">
        <f>AVERAGEIFS(Calculations!$K$2:$K$961,Calculations!$D$2:$D$961,'Promo_Stockout_ Impact'!A60,Calculations!$I$2:$I$961,1)</f>
        <v>7.3913951545530501E-2</v>
      </c>
      <c r="D60" s="26">
        <f>AVERAGEIFS(Calculations!$M$2:$M$961,Calculations!$D$2:$D$961,'Promo_Stockout_ Impact'!A60,Calculations!$I$2:$I$961,0)</f>
        <v>3.6729804019230684E-2</v>
      </c>
      <c r="E60" s="26">
        <f>AVERAGEIFS(Calculations!$M$2:$M$961,Calculations!$D$2:$D$961,'Promo_Stockout_ Impact'!A60,Calculations!$I$2:$I$961,1)</f>
        <v>7.4169799498746872E-2</v>
      </c>
      <c r="F60" s="26">
        <f>IFERROR(SUMIFS(Calculations!J:J,Calculations!D:D,A60,Calculations!I:I,0)/SUMIFS(Calculations!E:E,Calculations!D:D,A60,Calculations!I:I,0),"n/a")</f>
        <v>0.11488600804649084</v>
      </c>
      <c r="G60" s="26">
        <f>IFERROR(SUMIFS(Calculations!J:J,Calculations!D:D,A60,Calculations!I:I,1)/SUMIFS(Calculations!E:E,Calculations!D:D,A60,Calculations!I:I,1),"n/a")</f>
        <v>6.25E-2</v>
      </c>
      <c r="H60" s="26">
        <f>IFERROR(SUMIFS(Calculations!L:L,Calculations!D:D,A60,Calculations!I:I,0)/SUMIFS(Calculations!E:E,Calculations!D:D,A60,Calculations!I:I,0),"n/a")</f>
        <v>3.7773804202056324E-2</v>
      </c>
      <c r="I60" s="26">
        <f>IFERROR(SUMIFS(Calculations!L:L,Calculations!D:D,A60,Calculations!I:I,1)/SUMIFS(Calculations!E:E,Calculations!D:D,A60,Calculations!I:I,1),"n/a")</f>
        <v>7.2115384615384609E-2</v>
      </c>
    </row>
    <row r="61" spans="1:9" x14ac:dyDescent="0.35">
      <c r="A61" s="21" t="s">
        <v>30</v>
      </c>
      <c r="B61" s="26">
        <f>AVERAGEIFS(Calculations!$K$2:$K$961,Calculations!$D$2:$D$961,'Promo_Stockout_ Impact'!A61,Calculations!$I$2:$I$961,0)</f>
        <v>0.11392230344812952</v>
      </c>
      <c r="C61" s="26">
        <f>AVERAGEIFS(Calculations!$K$2:$K$961,Calculations!$D$2:$D$961,'Promo_Stockout_ Impact'!A61,Calculations!$I$2:$I$961,1)</f>
        <v>0.10330566028745847</v>
      </c>
      <c r="D61" s="26">
        <f>AVERAGEIFS(Calculations!$M$2:$M$961,Calculations!$D$2:$D$961,'Promo_Stockout_ Impact'!A61,Calculations!$I$2:$I$961,0)</f>
        <v>3.7322529223324727E-2</v>
      </c>
      <c r="E61" s="26">
        <f>AVERAGEIFS(Calculations!$M$2:$M$961,Calculations!$D$2:$D$961,'Promo_Stockout_ Impact'!A61,Calculations!$I$2:$I$961,1)</f>
        <v>3.2903971183405795E-2</v>
      </c>
      <c r="F61" s="26">
        <f>IFERROR(SUMIFS(Calculations!J:J,Calculations!D:D,A61,Calculations!I:I,0)/SUMIFS(Calculations!E:E,Calculations!D:D,A61,Calculations!I:I,0),"n/a")</f>
        <v>0.11972020446596718</v>
      </c>
      <c r="G61" s="26">
        <f>IFERROR(SUMIFS(Calculations!J:J,Calculations!D:D,A61,Calculations!I:I,1)/SUMIFS(Calculations!E:E,Calculations!D:D,A61,Calculations!I:I,1),"n/a")</f>
        <v>0.11392405063291139</v>
      </c>
      <c r="H61" s="26">
        <f>IFERROR(SUMIFS(Calculations!L:L,Calculations!D:D,A61,Calculations!I:I,0)/SUMIFS(Calculations!E:E,Calculations!D:D,A61,Calculations!I:I,0),"n/a")</f>
        <v>3.6857680925477539E-2</v>
      </c>
      <c r="I61" s="26">
        <f>IFERROR(SUMIFS(Calculations!L:L,Calculations!D:D,A61,Calculations!I:I,1)/SUMIFS(Calculations!E:E,Calculations!D:D,A61,Calculations!I:I,1),"n/a")</f>
        <v>3.7974683544303799E-2</v>
      </c>
    </row>
    <row r="62" spans="1:9" x14ac:dyDescent="0.35">
      <c r="A62" s="21" t="s">
        <v>31</v>
      </c>
      <c r="B62" s="26">
        <f>AVERAGEIFS(Calculations!$K$2:$K$961,Calculations!$D$2:$D$961,'Promo_Stockout_ Impact'!A62,Calculations!$I$2:$I$961,0)</f>
        <v>0.11575851237703673</v>
      </c>
      <c r="C62" s="26">
        <f>AVERAGEIFS(Calculations!$K$2:$K$961,Calculations!$D$2:$D$961,'Promo_Stockout_ Impact'!A62,Calculations!$I$2:$I$961,1)</f>
        <v>4.4070512820512817E-2</v>
      </c>
      <c r="D62" s="26">
        <f>AVERAGEIFS(Calculations!$M$2:$M$961,Calculations!$D$2:$D$961,'Promo_Stockout_ Impact'!A62,Calculations!$I$2:$I$961,0)</f>
        <v>4.6139984098795835E-2</v>
      </c>
      <c r="E62" s="26">
        <f>AVERAGEIFS(Calculations!$M$2:$M$961,Calculations!$D$2:$D$961,'Promo_Stockout_ Impact'!A62,Calculations!$I$2:$I$961,1)</f>
        <v>2.2035256410256408E-2</v>
      </c>
      <c r="F62" s="26">
        <f>IFERROR(SUMIFS(Calculations!J:J,Calculations!D:D,A62,Calculations!I:I,0)/SUMIFS(Calculations!E:E,Calculations!D:D,A62,Calculations!I:I,0),"n/a")</f>
        <v>0.11941468513195715</v>
      </c>
      <c r="G62" s="26">
        <f>IFERROR(SUMIFS(Calculations!J:J,Calculations!D:D,A62,Calculations!I:I,1)/SUMIFS(Calculations!E:E,Calculations!D:D,A62,Calculations!I:I,1),"n/a")</f>
        <v>3.6363636363636362E-2</v>
      </c>
      <c r="H62" s="26">
        <f>IFERROR(SUMIFS(Calculations!L:L,Calculations!D:D,A62,Calculations!I:I,0)/SUMIFS(Calculations!E:E,Calculations!D:D,A62,Calculations!I:I,0),"n/a")</f>
        <v>4.3114711262085187E-2</v>
      </c>
      <c r="I62" s="26">
        <f>IFERROR(SUMIFS(Calculations!L:L,Calculations!D:D,A62,Calculations!I:I,1)/SUMIFS(Calculations!E:E,Calculations!D:D,A62,Calculations!I:I,1),"n/a")</f>
        <v>1.8181818181818181E-2</v>
      </c>
    </row>
    <row r="63" spans="1:9" x14ac:dyDescent="0.35">
      <c r="A63" s="21" t="s">
        <v>32</v>
      </c>
      <c r="B63" s="26">
        <f>AVERAGEIFS(Calculations!$K$2:$K$961,Calculations!$D$2:$D$961,'Promo_Stockout_ Impact'!A63,Calculations!$I$2:$I$961,0)</f>
        <v>0.11819781653194783</v>
      </c>
      <c r="C63" s="26">
        <f>AVERAGEIFS(Calculations!$K$2:$K$961,Calculations!$D$2:$D$961,'Promo_Stockout_ Impact'!A63,Calculations!$I$2:$I$961,1)</f>
        <v>6.9980609906574995E-2</v>
      </c>
      <c r="D63" s="26">
        <f>AVERAGEIFS(Calculations!$M$2:$M$961,Calculations!$D$2:$D$961,'Promo_Stockout_ Impact'!A63,Calculations!$I$2:$I$961,0)</f>
        <v>3.769709393694886E-2</v>
      </c>
      <c r="E63" s="26">
        <f>AVERAGEIFS(Calculations!$M$2:$M$961,Calculations!$D$2:$D$961,'Promo_Stockout_ Impact'!A63,Calculations!$I$2:$I$961,1)</f>
        <v>4.121129326047359E-2</v>
      </c>
      <c r="F63" s="26">
        <f>IFERROR(SUMIFS(Calculations!J:J,Calculations!D:D,A63,Calculations!I:I,0)/SUMIFS(Calculations!E:E,Calculations!D:D,A63,Calculations!I:I,0),"n/a")</f>
        <v>0.12364243943191311</v>
      </c>
      <c r="G63" s="26">
        <f>IFERROR(SUMIFS(Calculations!J:J,Calculations!D:D,A63,Calculations!I:I,1)/SUMIFS(Calculations!E:E,Calculations!D:D,A63,Calculations!I:I,1),"n/a")</f>
        <v>8.8435374149659865E-2</v>
      </c>
      <c r="H63" s="26">
        <f>IFERROR(SUMIFS(Calculations!L:L,Calculations!D:D,A63,Calculations!I:I,0)/SUMIFS(Calculations!E:E,Calculations!D:D,A63,Calculations!I:I,0),"n/a")</f>
        <v>3.8150932887774991E-2</v>
      </c>
      <c r="I63" s="26">
        <f>IFERROR(SUMIFS(Calculations!L:L,Calculations!D:D,A63,Calculations!I:I,1)/SUMIFS(Calculations!E:E,Calculations!D:D,A63,Calculations!I:I,1),"n/a")</f>
        <v>4.0816326530612242E-2</v>
      </c>
    </row>
    <row r="64" spans="1:9" x14ac:dyDescent="0.35">
      <c r="A64" s="21" t="s">
        <v>33</v>
      </c>
      <c r="B64" s="26">
        <f>AVERAGEIFS(Calculations!$K$2:$K$961,Calculations!$D$2:$D$961,'Promo_Stockout_ Impact'!A64,Calculations!$I$2:$I$961,0)</f>
        <v>0.11897389069984926</v>
      </c>
      <c r="C64" s="26">
        <f>AVERAGEIFS(Calculations!$K$2:$K$961,Calculations!$D$2:$D$961,'Promo_Stockout_ Impact'!A64,Calculations!$I$2:$I$961,1)</f>
        <v>9.0909090909090912E-2</v>
      </c>
      <c r="D64" s="26">
        <f>AVERAGEIFS(Calculations!$M$2:$M$961,Calculations!$D$2:$D$961,'Promo_Stockout_ Impact'!A64,Calculations!$I$2:$I$961,0)</f>
        <v>3.9352952407280976E-2</v>
      </c>
      <c r="E64" s="26">
        <f>AVERAGEIFS(Calculations!$M$2:$M$961,Calculations!$D$2:$D$961,'Promo_Stockout_ Impact'!A64,Calculations!$I$2:$I$961,1)</f>
        <v>9.0909090909090912E-2</v>
      </c>
      <c r="F64" s="26">
        <f>IFERROR(SUMIFS(Calculations!J:J,Calculations!D:D,A64,Calculations!I:I,0)/SUMIFS(Calculations!E:E,Calculations!D:D,A64,Calculations!I:I,0),"n/a")</f>
        <v>0.12685961590478767</v>
      </c>
      <c r="G64" s="26">
        <f>IFERROR(SUMIFS(Calculations!J:J,Calculations!D:D,A64,Calculations!I:I,1)/SUMIFS(Calculations!E:E,Calculations!D:D,A64,Calculations!I:I,1),"n/a")</f>
        <v>9.0909090909090912E-2</v>
      </c>
      <c r="H64" s="26">
        <f>IFERROR(SUMIFS(Calculations!L:L,Calculations!D:D,A64,Calculations!I:I,0)/SUMIFS(Calculations!E:E,Calculations!D:D,A64,Calculations!I:I,0),"n/a")</f>
        <v>3.8950500405734383E-2</v>
      </c>
      <c r="I64" s="26">
        <f>IFERROR(SUMIFS(Calculations!L:L,Calculations!D:D,A64,Calculations!I:I,1)/SUMIFS(Calculations!E:E,Calculations!D:D,A64,Calculations!I:I,1),"n/a")</f>
        <v>9.0909090909090912E-2</v>
      </c>
    </row>
    <row r="65" spans="1:9" x14ac:dyDescent="0.35">
      <c r="A65" s="21" t="s">
        <v>34</v>
      </c>
      <c r="B65" s="26">
        <f>AVERAGEIFS(Calculations!$K$2:$K$961,Calculations!$D$2:$D$961,'Promo_Stockout_ Impact'!A65,Calculations!$I$2:$I$961,0)</f>
        <v>0.12798845859165675</v>
      </c>
      <c r="C65" s="26">
        <f>AVERAGEIFS(Calculations!$K$2:$K$961,Calculations!$D$2:$D$961,'Promo_Stockout_ Impact'!A65,Calculations!$I$2:$I$961,1)</f>
        <v>0.13173680151553166</v>
      </c>
      <c r="D65" s="26">
        <f>AVERAGEIFS(Calculations!$M$2:$M$961,Calculations!$D$2:$D$961,'Promo_Stockout_ Impact'!A65,Calculations!$I$2:$I$961,0)</f>
        <v>4.7945014759855679E-2</v>
      </c>
      <c r="E65" s="26">
        <f>AVERAGEIFS(Calculations!$M$2:$M$961,Calculations!$D$2:$D$961,'Promo_Stockout_ Impact'!A65,Calculations!$I$2:$I$961,1)</f>
        <v>6.1438408849694093E-2</v>
      </c>
      <c r="F65" s="26">
        <f>IFERROR(SUMIFS(Calculations!J:J,Calculations!D:D,A65,Calculations!I:I,0)/SUMIFS(Calculations!E:E,Calculations!D:D,A65,Calculations!I:I,0),"n/a")</f>
        <v>0.12801047120418849</v>
      </c>
      <c r="G65" s="26">
        <f>IFERROR(SUMIFS(Calculations!J:J,Calculations!D:D,A65,Calculations!I:I,1)/SUMIFS(Calculations!E:E,Calculations!D:D,A65,Calculations!I:I,1),"n/a")</f>
        <v>0.13069908814589665</v>
      </c>
      <c r="H65" s="26">
        <f>IFERROR(SUMIFS(Calculations!L:L,Calculations!D:D,A65,Calculations!I:I,0)/SUMIFS(Calculations!E:E,Calculations!D:D,A65,Calculations!I:I,0),"n/a")</f>
        <v>4.9738219895287955E-2</v>
      </c>
      <c r="I65" s="26">
        <f>IFERROR(SUMIFS(Calculations!L:L,Calculations!D:D,A65,Calculations!I:I,1)/SUMIFS(Calculations!E:E,Calculations!D:D,A65,Calculations!I:I,1),"n/a")</f>
        <v>6.3829787234042548E-2</v>
      </c>
    </row>
    <row r="66" spans="1:9" x14ac:dyDescent="0.35">
      <c r="A66" s="21" t="s">
        <v>35</v>
      </c>
      <c r="B66" s="26">
        <f>AVERAGEIFS(Calculations!$K$2:$K$961,Calculations!$D$2:$D$961,'Promo_Stockout_ Impact'!A66,Calculations!$I$2:$I$961,0)</f>
        <v>0.11926964846230076</v>
      </c>
      <c r="C66" s="26">
        <f>AVERAGEIFS(Calculations!$K$2:$K$961,Calculations!$D$2:$D$961,'Promo_Stockout_ Impact'!A66,Calculations!$I$2:$I$961,1)</f>
        <v>0.11505239080966519</v>
      </c>
      <c r="D66" s="26">
        <f>AVERAGEIFS(Calculations!$M$2:$M$961,Calculations!$D$2:$D$961,'Promo_Stockout_ Impact'!A66,Calculations!$I$2:$I$961,0)</f>
        <v>5.3090818431758439E-2</v>
      </c>
      <c r="E66" s="26">
        <f>AVERAGEIFS(Calculations!$M$2:$M$961,Calculations!$D$2:$D$961,'Promo_Stockout_ Impact'!A66,Calculations!$I$2:$I$961,1)</f>
        <v>2.6981351981351983E-2</v>
      </c>
      <c r="F66" s="26">
        <f>IFERROR(SUMIFS(Calculations!J:J,Calculations!D:D,A66,Calculations!I:I,0)/SUMIFS(Calculations!E:E,Calculations!D:D,A66,Calculations!I:I,0),"n/a")</f>
        <v>0.11608066184074457</v>
      </c>
      <c r="G66" s="26">
        <f>IFERROR(SUMIFS(Calculations!J:J,Calculations!D:D,A66,Calculations!I:I,1)/SUMIFS(Calculations!E:E,Calculations!D:D,A66,Calculations!I:I,1),"n/a")</f>
        <v>0.12009237875288684</v>
      </c>
      <c r="H66" s="26">
        <f>IFERROR(SUMIFS(Calculations!L:L,Calculations!D:D,A66,Calculations!I:I,0)/SUMIFS(Calculations!E:E,Calculations!D:D,A66,Calculations!I:I,0),"n/a")</f>
        <v>4.9379524301964843E-2</v>
      </c>
      <c r="I66" s="26">
        <f>IFERROR(SUMIFS(Calculations!L:L,Calculations!D:D,A66,Calculations!I:I,1)/SUMIFS(Calculations!E:E,Calculations!D:D,A66,Calculations!I:I,1),"n/a")</f>
        <v>3.2332563510392612E-2</v>
      </c>
    </row>
    <row r="68" spans="1:9" x14ac:dyDescent="0.35">
      <c r="A68" s="28" t="s">
        <v>93</v>
      </c>
    </row>
  </sheetData>
  <pageMargins left="0.7" right="0.7" top="0.75" bottom="0.75" header="0.3" footer="0.3"/>
  <ignoredErrors>
    <ignoredError sqref="C55 E55" evalError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759F-9914-40AC-8EA5-1271543CFCAF}">
  <dimension ref="A2:D7"/>
  <sheetViews>
    <sheetView showGridLines="0" workbookViewId="0">
      <selection activeCell="C14" sqref="C14"/>
    </sheetView>
  </sheetViews>
  <sheetFormatPr defaultRowHeight="14.5" x14ac:dyDescent="0.35"/>
  <cols>
    <col min="1" max="1" width="16.54296875" bestFit="1" customWidth="1"/>
    <col min="2" max="2" width="18.6328125" bestFit="1" customWidth="1"/>
    <col min="3" max="3" width="20.1796875" bestFit="1" customWidth="1"/>
    <col min="4" max="4" width="28.08984375" bestFit="1" customWidth="1"/>
  </cols>
  <sheetData>
    <row r="2" spans="1:4" x14ac:dyDescent="0.35">
      <c r="A2" s="20" t="s">
        <v>66</v>
      </c>
      <c r="B2" s="20" t="s">
        <v>67</v>
      </c>
      <c r="C2" s="20" t="s">
        <v>68</v>
      </c>
      <c r="D2" s="20" t="s">
        <v>69</v>
      </c>
    </row>
    <row r="3" spans="1:4" x14ac:dyDescent="0.35">
      <c r="A3" s="21" t="s">
        <v>70</v>
      </c>
      <c r="B3" s="22">
        <f>AVERAGE(Calculations!J:J)</f>
        <v>14.060416666666667</v>
      </c>
      <c r="C3" s="22">
        <f>AVERAGE(Calculations!L:L)</f>
        <v>5.098958333333333</v>
      </c>
      <c r="D3" s="22">
        <f>AVERAGE(Calculations!O:O)</f>
        <v>5.7197916666666666</v>
      </c>
    </row>
    <row r="4" spans="1:4" x14ac:dyDescent="0.35">
      <c r="A4" s="21" t="s">
        <v>71</v>
      </c>
      <c r="B4" s="23">
        <f>AVERAGE(Calculations!K:K)/100</f>
        <v>1.1726942413639333E-3</v>
      </c>
      <c r="C4" s="23">
        <f>AVERAGE(Calculations!M:M)/100</f>
        <v>4.3454691946763095E-4</v>
      </c>
      <c r="D4" s="23">
        <f>AVERAGE(Calculations!P:P)/100</f>
        <v>5.4028004338973167E-4</v>
      </c>
    </row>
    <row r="5" spans="1:4" x14ac:dyDescent="0.35">
      <c r="A5" s="21" t="s">
        <v>72</v>
      </c>
      <c r="B5" s="23">
        <f>SUM(Calculations!J:J)/SUM(Calculations!E:E)</f>
        <v>0.12048881073312684</v>
      </c>
      <c r="C5" s="23">
        <f>SUM(Calculations!L:L)/SUM(Calculations!E:E)</f>
        <v>4.3694823569318114E-2</v>
      </c>
      <c r="D5" s="23">
        <f>SUM(Calculations!O:O)/SUM(Calculations!E:E)</f>
        <v>4.9014969605541518E-2</v>
      </c>
    </row>
    <row r="6" spans="1:4" x14ac:dyDescent="0.35">
      <c r="A6" s="21" t="s">
        <v>73</v>
      </c>
      <c r="B6" s="22">
        <f>SQRT(SUMPRODUCT((Calculations!F2:F961-Calculations!E2:E961),(Calculations!F2:F961-Calculations!E2:E961)/960))</f>
        <v>19.10922552067456</v>
      </c>
      <c r="C6" s="22">
        <f>SQRT(SUMPRODUCT((Calculations!G2:G961-Calculations!E2:E961),(Calculations!G2:G961-Calculations!E2:E961)/960))</f>
        <v>6.9252707528298174</v>
      </c>
      <c r="D6" s="22">
        <f>SQRT(SUMPRODUCT((Calculations!N2:N961-Calculations!E2:E961),(Calculations!N2:N961-Calculations!E2:E961)/960))</f>
        <v>7.7097746400267742</v>
      </c>
    </row>
    <row r="7" spans="1:4" x14ac:dyDescent="0.35">
      <c r="A7" s="21" t="s">
        <v>74</v>
      </c>
      <c r="B7" s="22">
        <f>(SUM(Calculations!F2:F961)-SUM(Calculations!E2:E961))/960</f>
        <v>8.0812500000000007</v>
      </c>
      <c r="C7" s="22">
        <f>(SUM(Calculations!G2:G961)-SUM(Calculations!E2:E961))/960</f>
        <v>-0.828125</v>
      </c>
      <c r="D7" s="22">
        <f>(SUM(Calculations!N2:N961)-SUM(Calculations!E2:E961))/960</f>
        <v>0.50937500000000002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F876-72F5-4EC3-8EE3-D461C0686204}">
  <dimension ref="A1:G27"/>
  <sheetViews>
    <sheetView showGridLines="0" topLeftCell="D3" workbookViewId="0">
      <selection activeCell="K20" sqref="K20"/>
    </sheetView>
  </sheetViews>
  <sheetFormatPr defaultRowHeight="14.5" x14ac:dyDescent="0.35"/>
  <cols>
    <col min="1" max="1" width="13.453125" customWidth="1"/>
    <col min="2" max="2" width="17.08984375" bestFit="1" customWidth="1"/>
    <col min="3" max="3" width="18.6328125" bestFit="1" customWidth="1"/>
    <col min="4" max="4" width="21.7265625" bestFit="1" customWidth="1"/>
    <col min="5" max="5" width="16.6328125" bestFit="1" customWidth="1"/>
    <col min="6" max="6" width="18.26953125" bestFit="1" customWidth="1"/>
    <col min="7" max="7" width="21.36328125" bestFit="1" customWidth="1"/>
  </cols>
  <sheetData>
    <row r="1" spans="1:7" ht="15.5" x14ac:dyDescent="0.45">
      <c r="A1" s="24" t="s">
        <v>94</v>
      </c>
    </row>
    <row r="3" spans="1:7" x14ac:dyDescent="0.35">
      <c r="A3" s="20" t="s">
        <v>3</v>
      </c>
      <c r="B3" s="20" t="s">
        <v>62</v>
      </c>
      <c r="C3" s="20" t="s">
        <v>63</v>
      </c>
      <c r="D3" s="20" t="s">
        <v>95</v>
      </c>
      <c r="E3" s="20" t="s">
        <v>60</v>
      </c>
      <c r="F3" s="20" t="s">
        <v>61</v>
      </c>
      <c r="G3" s="20" t="s">
        <v>96</v>
      </c>
    </row>
    <row r="4" spans="1:7" x14ac:dyDescent="0.35">
      <c r="A4" s="21" t="s">
        <v>12</v>
      </c>
      <c r="B4" s="26">
        <f>SUMIF(Calculations!D:D,A4,Calculations!J:J)/SUMIF(Calculations!D:D,A4,Calculations!E:E)</f>
        <v>0.10279441117764471</v>
      </c>
      <c r="C4" s="26">
        <f>SUMIF(Calculations!D:D,A4,Calculations!L:L)/SUMIF(Calculations!D:D,A4,Calculations!E:E)</f>
        <v>3.0139720558882234E-2</v>
      </c>
      <c r="D4" s="26">
        <f>SUMIF(Calculations!D:D,A4,Calculations!O:O)/SUMIF(Calculations!D:D,A4,Calculations!E:E)</f>
        <v>5.748502994011976E-2</v>
      </c>
      <c r="E4" s="26">
        <f>AVERAGEIF(Calculations!D:D,A4,Calculations!K:K)</f>
        <v>0.10728484411102228</v>
      </c>
      <c r="F4" s="26">
        <f>AVERAGEIF(Calculations!D:D,A4,Calculations!M:M)</f>
        <v>3.4948176107859816E-2</v>
      </c>
      <c r="G4" s="26">
        <f>AVERAGEIF(Calculations!D:D,A4,Calculations!P:P)</f>
        <v>6.4563627622936132E-2</v>
      </c>
    </row>
    <row r="5" spans="1:7" x14ac:dyDescent="0.35">
      <c r="A5" s="21" t="s">
        <v>13</v>
      </c>
      <c r="B5" s="26">
        <f>SUMIF(Calculations!D:D,A5,Calculations!J:J)/SUMIF(Calculations!D:D,A5,Calculations!E:E)</f>
        <v>0.11417883861774136</v>
      </c>
      <c r="C5" s="26">
        <f>SUMIF(Calculations!D:D,A5,Calculations!L:L)/SUMIF(Calculations!D:D,A5,Calculations!E:E)</f>
        <v>4.5778411115069466E-2</v>
      </c>
      <c r="D5" s="26">
        <f>SUMIF(Calculations!D:D,A5,Calculations!O:O)/SUMIF(Calculations!D:D,A5,Calculations!E:E)</f>
        <v>4.381902386889918E-2</v>
      </c>
      <c r="E5" s="26">
        <f>AVERAGEIF(Calculations!D:D,A5,Calculations!K:K)</f>
        <v>0.11306596383664214</v>
      </c>
      <c r="F5" s="26">
        <f>AVERAGEIF(Calculations!D:D,A5,Calculations!M:M)</f>
        <v>4.6914701686939883E-2</v>
      </c>
      <c r="G5" s="26">
        <f>AVERAGEIF(Calculations!D:D,A5,Calculations!P:P)</f>
        <v>4.8918023122660817E-2</v>
      </c>
    </row>
    <row r="6" spans="1:7" x14ac:dyDescent="0.35">
      <c r="A6" s="21" t="s">
        <v>14</v>
      </c>
      <c r="B6" s="26">
        <f>SUMIF(Calculations!D:D,A6,Calculations!J:J)/SUMIF(Calculations!D:D,A6,Calculations!E:E)</f>
        <v>0.13216957605985039</v>
      </c>
      <c r="C6" s="26">
        <f>SUMIF(Calculations!D:D,A6,Calculations!L:L)/SUMIF(Calculations!D:D,A6,Calculations!E:E)</f>
        <v>4.2215888849305307E-2</v>
      </c>
      <c r="D6" s="26">
        <f>SUMIF(Calculations!D:D,A6,Calculations!O:O)/SUMIF(Calculations!D:D,A6,Calculations!E:E)</f>
        <v>5.2190951193444961E-2</v>
      </c>
      <c r="E6" s="26">
        <f>AVERAGEIF(Calculations!D:D,A6,Calculations!K:K)</f>
        <v>0.13623254768594745</v>
      </c>
      <c r="F6" s="26">
        <f>AVERAGEIF(Calculations!D:D,A6,Calculations!M:M)</f>
        <v>4.6175108429319947E-2</v>
      </c>
      <c r="G6" s="26">
        <f>AVERAGEIF(Calculations!D:D,A6,Calculations!P:P)</f>
        <v>5.0466648737938082E-2</v>
      </c>
    </row>
    <row r="7" spans="1:7" x14ac:dyDescent="0.35">
      <c r="A7" s="21" t="s">
        <v>15</v>
      </c>
      <c r="B7" s="26">
        <f>SUMIF(Calculations!D:D,A7,Calculations!J:J)/SUMIF(Calculations!D:D,A7,Calculations!E:E)</f>
        <v>0.13560551124002901</v>
      </c>
      <c r="C7" s="26">
        <f>SUMIF(Calculations!D:D,A7,Calculations!L:L)/SUMIF(Calculations!D:D,A7,Calculations!E:E)</f>
        <v>4.0427846265409718E-2</v>
      </c>
      <c r="D7" s="26">
        <f>SUMIF(Calculations!D:D,A7,Calculations!O:O)/SUMIF(Calculations!D:D,A7,Calculations!E:E)</f>
        <v>5.2211747643219723E-2</v>
      </c>
      <c r="E7" s="26">
        <f>AVERAGEIF(Calculations!D:D,A7,Calculations!K:K)</f>
        <v>0.12328543799230485</v>
      </c>
      <c r="F7" s="26">
        <f>AVERAGEIF(Calculations!D:D,A7,Calculations!M:M)</f>
        <v>4.1217279771079404E-2</v>
      </c>
      <c r="G7" s="26">
        <f>AVERAGEIF(Calculations!D:D,A7,Calculations!P:P)</f>
        <v>4.8942951120395706E-2</v>
      </c>
    </row>
    <row r="8" spans="1:7" x14ac:dyDescent="0.35">
      <c r="A8" s="21" t="s">
        <v>16</v>
      </c>
      <c r="B8" s="26">
        <f>SUMIF(Calculations!D:D,A8,Calculations!J:J)/SUMIF(Calculations!D:D,A8,Calculations!E:E)</f>
        <v>0.12102032988108938</v>
      </c>
      <c r="C8" s="26">
        <f>SUMIF(Calculations!D:D,A8,Calculations!L:L)/SUMIF(Calculations!D:D,A8,Calculations!E:E)</f>
        <v>4.3728423475258918E-2</v>
      </c>
      <c r="D8" s="26">
        <f>SUMIF(Calculations!D:D,A8,Calculations!O:O)/SUMIF(Calculations!D:D,A8,Calculations!E:E)</f>
        <v>4.3153049482163405E-2</v>
      </c>
      <c r="E8" s="26">
        <f>AVERAGEIF(Calculations!D:D,A8,Calculations!K:K)</f>
        <v>0.1223444725789703</v>
      </c>
      <c r="F8" s="26">
        <f>AVERAGEIF(Calculations!D:D,A8,Calculations!M:M)</f>
        <v>4.4068486711327771E-2</v>
      </c>
      <c r="G8" s="26">
        <f>AVERAGEIF(Calculations!D:D,A8,Calculations!P:P)</f>
        <v>4.5319665466981851E-2</v>
      </c>
    </row>
    <row r="9" spans="1:7" x14ac:dyDescent="0.35">
      <c r="A9" s="21" t="s">
        <v>17</v>
      </c>
      <c r="B9" s="26">
        <f>SUMIF(Calculations!D:D,A9,Calculations!J:J)/SUMIF(Calculations!D:D,A9,Calculations!E:E)</f>
        <v>0.113107822410148</v>
      </c>
      <c r="C9" s="26">
        <f>SUMIF(Calculations!D:D,A9,Calculations!L:L)/SUMIF(Calculations!D:D,A9,Calculations!E:E)</f>
        <v>5.1585623678646934E-2</v>
      </c>
      <c r="D9" s="26">
        <f>SUMIF(Calculations!D:D,A9,Calculations!O:O)/SUMIF(Calculations!D:D,A9,Calculations!E:E)</f>
        <v>4.0169133192389003E-2</v>
      </c>
      <c r="E9" s="26">
        <f>AVERAGEIF(Calculations!D:D,A9,Calculations!K:K)</f>
        <v>0.10498647197464699</v>
      </c>
      <c r="F9" s="26">
        <f>AVERAGEIF(Calculations!D:D,A9,Calculations!M:M)</f>
        <v>4.568320539301389E-2</v>
      </c>
      <c r="G9" s="26">
        <f>AVERAGEIF(Calculations!D:D,A9,Calculations!P:P)</f>
        <v>4.8005285509891013E-2</v>
      </c>
    </row>
    <row r="10" spans="1:7" x14ac:dyDescent="0.35">
      <c r="A10" s="21" t="s">
        <v>18</v>
      </c>
      <c r="B10" s="26">
        <f>SUMIF(Calculations!D:D,A10,Calculations!J:J)/SUMIF(Calculations!D:D,A10,Calculations!E:E)</f>
        <v>0.12203228869895537</v>
      </c>
      <c r="C10" s="26">
        <f>SUMIF(Calculations!D:D,A10,Calculations!L:L)/SUMIF(Calculations!D:D,A10,Calculations!E:E)</f>
        <v>4.2260208926875591E-2</v>
      </c>
      <c r="D10" s="26">
        <f>SUMIF(Calculations!D:D,A10,Calculations!O:O)/SUMIF(Calculations!D:D,A10,Calculations!E:E)</f>
        <v>5.5555555555555552E-2</v>
      </c>
      <c r="E10" s="26">
        <f>AVERAGEIF(Calculations!D:D,A10,Calculations!K:K)</f>
        <v>0.12211992381266464</v>
      </c>
      <c r="F10" s="26">
        <f>AVERAGEIF(Calculations!D:D,A10,Calculations!M:M)</f>
        <v>4.2373967219674832E-2</v>
      </c>
      <c r="G10" s="26">
        <f>AVERAGEIF(Calculations!D:D,A10,Calculations!P:P)</f>
        <v>6.5000908687460959E-2</v>
      </c>
    </row>
    <row r="11" spans="1:7" x14ac:dyDescent="0.35">
      <c r="A11" s="21" t="s">
        <v>19</v>
      </c>
      <c r="B11" s="26">
        <f>SUMIF(Calculations!D:D,A11,Calculations!J:J)/SUMIF(Calculations!D:D,A11,Calculations!E:E)</f>
        <v>9.761217528207819E-2</v>
      </c>
      <c r="C11" s="26">
        <f>SUMIF(Calculations!D:D,A11,Calculations!L:L)/SUMIF(Calculations!D:D,A11,Calculations!E:E)</f>
        <v>3.8834951456310676E-2</v>
      </c>
      <c r="D11" s="26">
        <f>SUMIF(Calculations!D:D,A11,Calculations!O:O)/SUMIF(Calculations!D:D,A11,Calculations!E:E)</f>
        <v>5.0905274206245077E-2</v>
      </c>
      <c r="E11" s="26">
        <f>AVERAGEIF(Calculations!D:D,A11,Calculations!K:K)</f>
        <v>9.6055298544192189E-2</v>
      </c>
      <c r="F11" s="26">
        <f>AVERAGEIF(Calculations!D:D,A11,Calculations!M:M)</f>
        <v>3.9210819098166441E-2</v>
      </c>
      <c r="G11" s="26">
        <f>AVERAGEIF(Calculations!D:D,A11,Calculations!P:P)</f>
        <v>7.1647381032036009E-2</v>
      </c>
    </row>
    <row r="12" spans="1:7" x14ac:dyDescent="0.35">
      <c r="A12" s="21" t="s">
        <v>20</v>
      </c>
      <c r="B12" s="26">
        <f>SUMIF(Calculations!D:D,A12,Calculations!J:J)/SUMIF(Calculations!D:D,A12,Calculations!E:E)</f>
        <v>0.12391857506361323</v>
      </c>
      <c r="C12" s="26">
        <f>SUMIF(Calculations!D:D,A12,Calculations!L:L)/SUMIF(Calculations!D:D,A12,Calculations!E:E)</f>
        <v>4.1221374045801527E-2</v>
      </c>
      <c r="D12" s="26">
        <f>SUMIF(Calculations!D:D,A12,Calculations!O:O)/SUMIF(Calculations!D:D,A12,Calculations!E:E)</f>
        <v>4.9618320610687022E-2</v>
      </c>
      <c r="E12" s="26">
        <f>AVERAGEIF(Calculations!D:D,A12,Calculations!K:K)</f>
        <v>0.11839889192444145</v>
      </c>
      <c r="F12" s="26">
        <f>AVERAGEIF(Calculations!D:D,A12,Calculations!M:M)</f>
        <v>4.0357987358182981E-2</v>
      </c>
      <c r="G12" s="26">
        <f>AVERAGEIF(Calculations!D:D,A12,Calculations!P:P)</f>
        <v>5.7405115263404707E-2</v>
      </c>
    </row>
    <row r="13" spans="1:7" x14ac:dyDescent="0.35">
      <c r="A13" s="21" t="s">
        <v>21</v>
      </c>
      <c r="B13" s="26">
        <f>SUMIF(Calculations!D:D,A13,Calculations!J:J)/SUMIF(Calculations!D:D,A13,Calculations!E:E)</f>
        <v>0.12292271168557109</v>
      </c>
      <c r="C13" s="26">
        <f>SUMIF(Calculations!D:D,A13,Calculations!L:L)/SUMIF(Calculations!D:D,A13,Calculations!E:E)</f>
        <v>4.6161962542864678E-2</v>
      </c>
      <c r="D13" s="26">
        <f>SUMIF(Calculations!D:D,A13,Calculations!O:O)/SUMIF(Calculations!D:D,A13,Calculations!E:E)</f>
        <v>3.9567396465312585E-2</v>
      </c>
      <c r="E13" s="26">
        <f>AVERAGEIF(Calculations!D:D,A13,Calculations!K:K)</f>
        <v>0.11733520707934793</v>
      </c>
      <c r="F13" s="26">
        <f>AVERAGEIF(Calculations!D:D,A13,Calculations!M:M)</f>
        <v>4.430998050488448E-2</v>
      </c>
      <c r="G13" s="26">
        <f>AVERAGEIF(Calculations!D:D,A13,Calculations!P:P)</f>
        <v>4.6409527075242263E-2</v>
      </c>
    </row>
    <row r="14" spans="1:7" x14ac:dyDescent="0.35">
      <c r="A14" s="21" t="s">
        <v>22</v>
      </c>
      <c r="B14" s="26">
        <f>SUMIF(Calculations!D:D,A14,Calculations!J:J)/SUMIF(Calculations!D:D,A14,Calculations!E:E)</f>
        <v>0.11378002528445007</v>
      </c>
      <c r="C14" s="26">
        <f>SUMIF(Calculations!D:D,A14,Calculations!L:L)/SUMIF(Calculations!D:D,A14,Calculations!E:E)</f>
        <v>5.1580278128950698E-2</v>
      </c>
      <c r="D14" s="26">
        <f>SUMIF(Calculations!D:D,A14,Calculations!O:O)/SUMIF(Calculations!D:D,A14,Calculations!E:E)</f>
        <v>5.2591656131479141E-2</v>
      </c>
      <c r="E14" s="26">
        <f>AVERAGEIF(Calculations!D:D,A14,Calculations!K:K)</f>
        <v>0.11790220796997826</v>
      </c>
      <c r="F14" s="26">
        <f>AVERAGEIF(Calculations!D:D,A14,Calculations!M:M)</f>
        <v>4.8423577112982882E-2</v>
      </c>
      <c r="G14" s="26">
        <f>AVERAGEIF(Calculations!D:D,A14,Calculations!P:P)</f>
        <v>6.2436624724726032E-2</v>
      </c>
    </row>
    <row r="15" spans="1:7" x14ac:dyDescent="0.35">
      <c r="A15" s="21" t="s">
        <v>23</v>
      </c>
      <c r="B15" s="26">
        <f>SUMIF(Calculations!D:D,A15,Calculations!J:J)/SUMIF(Calculations!D:D,A15,Calculations!E:E)</f>
        <v>0.12258624430462139</v>
      </c>
      <c r="C15" s="26">
        <f>SUMIF(Calculations!D:D,A15,Calculations!L:L)/SUMIF(Calculations!D:D,A15,Calculations!E:E)</f>
        <v>4.3827294423953132E-2</v>
      </c>
      <c r="D15" s="26">
        <f>SUMIF(Calculations!D:D,A15,Calculations!O:O)/SUMIF(Calculations!D:D,A15,Calculations!E:E)</f>
        <v>4.7298763289216748E-2</v>
      </c>
      <c r="E15" s="26">
        <f>AVERAGEIF(Calculations!D:D,A15,Calculations!K:K)</f>
        <v>0.12728239771780031</v>
      </c>
      <c r="F15" s="26">
        <f>AVERAGEIF(Calculations!D:D,A15,Calculations!M:M)</f>
        <v>4.2074703094464941E-2</v>
      </c>
      <c r="G15" s="26">
        <f>AVERAGEIF(Calculations!D:D,A15,Calculations!P:P)</f>
        <v>5.0575428539023762E-2</v>
      </c>
    </row>
    <row r="16" spans="1:7" x14ac:dyDescent="0.35">
      <c r="A16" s="21" t="s">
        <v>24</v>
      </c>
      <c r="B16" s="26">
        <f>SUMIF(Calculations!D:D,A16,Calculations!J:J)/SUMIF(Calculations!D:D,A16,Calculations!E:E)</f>
        <v>0.12241018817715263</v>
      </c>
      <c r="C16" s="26">
        <f>SUMIF(Calculations!D:D,A16,Calculations!L:L)/SUMIF(Calculations!D:D,A16,Calculations!E:E)</f>
        <v>4.8850028511689791E-2</v>
      </c>
      <c r="D16" s="26">
        <f>SUMIF(Calculations!D:D,A16,Calculations!O:O)/SUMIF(Calculations!D:D,A16,Calculations!E:E)</f>
        <v>5.2081353354875501E-2</v>
      </c>
      <c r="E16" s="26">
        <f>AVERAGEIF(Calculations!D:D,A16,Calculations!K:K)</f>
        <v>0.1210030057313829</v>
      </c>
      <c r="F16" s="26">
        <f>AVERAGEIF(Calculations!D:D,A16,Calculations!M:M)</f>
        <v>4.8846825216084508E-2</v>
      </c>
      <c r="G16" s="26">
        <f>AVERAGEIF(Calculations!D:D,A16,Calculations!P:P)</f>
        <v>5.3859359703021206E-2</v>
      </c>
    </row>
    <row r="17" spans="1:7" x14ac:dyDescent="0.35">
      <c r="A17" s="21" t="s">
        <v>25</v>
      </c>
      <c r="B17" s="26">
        <f>SUMIF(Calculations!D:D,A17,Calculations!J:J)/SUMIF(Calculations!D:D,A17,Calculations!E:E)</f>
        <v>0.12781818181818183</v>
      </c>
      <c r="C17" s="26">
        <f>SUMIF(Calculations!D:D,A17,Calculations!L:L)/SUMIF(Calculations!D:D,A17,Calculations!E:E)</f>
        <v>4.1818181818181817E-2</v>
      </c>
      <c r="D17" s="26">
        <f>SUMIF(Calculations!D:D,A17,Calculations!O:O)/SUMIF(Calculations!D:D,A17,Calculations!E:E)</f>
        <v>4.3090909090909089E-2</v>
      </c>
      <c r="E17" s="26">
        <f>AVERAGEIF(Calculations!D:D,A17,Calculations!K:K)</f>
        <v>0.12034005795215359</v>
      </c>
      <c r="F17" s="26">
        <f>AVERAGEIF(Calculations!D:D,A17,Calculations!M:M)</f>
        <v>4.2557673432305841E-2</v>
      </c>
      <c r="G17" s="26">
        <f>AVERAGEIF(Calculations!D:D,A17,Calculations!P:P)</f>
        <v>4.1526631184319596E-2</v>
      </c>
    </row>
    <row r="18" spans="1:7" x14ac:dyDescent="0.35">
      <c r="A18" s="21" t="s">
        <v>26</v>
      </c>
      <c r="B18" s="26">
        <f>SUMIF(Calculations!D:D,A18,Calculations!J:J)/SUMIF(Calculations!D:D,A18,Calculations!E:E)</f>
        <v>0.1030469017459774</v>
      </c>
      <c r="C18" s="26">
        <f>SUMIF(Calculations!D:D,A18,Calculations!L:L)/SUMIF(Calculations!D:D,A18,Calculations!E:E)</f>
        <v>4.0568298527901406E-2</v>
      </c>
      <c r="D18" s="26">
        <f>SUMIF(Calculations!D:D,A18,Calculations!O:O)/SUMIF(Calculations!D:D,A18,Calculations!E:E)</f>
        <v>4.7928791509756929E-2</v>
      </c>
      <c r="E18" s="26">
        <f>AVERAGEIF(Calculations!D:D,A18,Calculations!K:K)</f>
        <v>9.4724936661413059E-2</v>
      </c>
      <c r="F18" s="26">
        <f>AVERAGEIF(Calculations!D:D,A18,Calculations!M:M)</f>
        <v>3.9644930918694657E-2</v>
      </c>
      <c r="G18" s="26">
        <f>AVERAGEIF(Calculations!D:D,A18,Calculations!P:P)</f>
        <v>4.4774759561230511E-2</v>
      </c>
    </row>
    <row r="19" spans="1:7" x14ac:dyDescent="0.35">
      <c r="A19" s="21" t="s">
        <v>27</v>
      </c>
      <c r="B19" s="26">
        <f>SUMIF(Calculations!D:D,A19,Calculations!J:J)/SUMIF(Calculations!D:D,A19,Calculations!E:E)</f>
        <v>0.13972944108223567</v>
      </c>
      <c r="C19" s="26">
        <f>SUMIF(Calculations!D:D,A19,Calculations!L:L)/SUMIF(Calculations!D:D,A19,Calculations!E:E)</f>
        <v>5.1619793520825914E-2</v>
      </c>
      <c r="D19" s="26">
        <f>SUMIF(Calculations!D:D,A19,Calculations!O:O)/SUMIF(Calculations!D:D,A19,Calculations!E:E)</f>
        <v>5.4289782840868633E-2</v>
      </c>
      <c r="E19" s="26">
        <f>AVERAGEIF(Calculations!D:D,A19,Calculations!K:K)</f>
        <v>0.13028773273744337</v>
      </c>
      <c r="F19" s="26">
        <f>AVERAGEIF(Calculations!D:D,A19,Calculations!M:M)</f>
        <v>4.7399539626376261E-2</v>
      </c>
      <c r="G19" s="26">
        <f>AVERAGEIF(Calculations!D:D,A19,Calculations!P:P)</f>
        <v>5.5524057026312121E-2</v>
      </c>
    </row>
    <row r="20" spans="1:7" x14ac:dyDescent="0.35">
      <c r="A20" s="21" t="s">
        <v>28</v>
      </c>
      <c r="B20" s="26">
        <f>SUMIF(Calculations!D:D,A20,Calculations!J:J)/SUMIF(Calculations!D:D,A20,Calculations!E:E)</f>
        <v>0.12830114308238078</v>
      </c>
      <c r="C20" s="26">
        <f>SUMIF(Calculations!D:D,A20,Calculations!L:L)/SUMIF(Calculations!D:D,A20,Calculations!E:E)</f>
        <v>5.0453291288923924E-2</v>
      </c>
      <c r="D20" s="26">
        <f>SUMIF(Calculations!D:D,A20,Calculations!O:O)/SUMIF(Calculations!D:D,A20,Calculations!E:E)</f>
        <v>5.2029956641702797E-2</v>
      </c>
      <c r="E20" s="26">
        <f>AVERAGEIF(Calculations!D:D,A20,Calculations!K:K)</f>
        <v>0.13297725043352468</v>
      </c>
      <c r="F20" s="26">
        <f>AVERAGEIF(Calculations!D:D,A20,Calculations!M:M)</f>
        <v>4.711430660220902E-2</v>
      </c>
      <c r="G20" s="26">
        <f>AVERAGEIF(Calculations!D:D,A20,Calculations!P:P)</f>
        <v>5.6889523891958324E-2</v>
      </c>
    </row>
    <row r="21" spans="1:7" x14ac:dyDescent="0.35">
      <c r="A21" s="21" t="s">
        <v>29</v>
      </c>
      <c r="B21" s="26">
        <f>SUMIF(Calculations!D:D,A21,Calculations!J:J)/SUMIF(Calculations!D:D,A21,Calculations!E:E)</f>
        <v>0.11255873558308416</v>
      </c>
      <c r="C21" s="26">
        <f>SUMIF(Calculations!D:D,A21,Calculations!L:L)/SUMIF(Calculations!D:D,A21,Calculations!E:E)</f>
        <v>3.9299444681759929E-2</v>
      </c>
      <c r="D21" s="26">
        <f>SUMIF(Calculations!D:D,A21,Calculations!O:O)/SUMIF(Calculations!D:D,A21,Calculations!E:E)</f>
        <v>4.57069628363947E-2</v>
      </c>
      <c r="E21" s="26">
        <f>AVERAGEIF(Calculations!D:D,A21,Calculations!K:K)</f>
        <v>0.10535478921843588</v>
      </c>
      <c r="F21" s="26">
        <f>AVERAGEIF(Calculations!D:D,A21,Calculations!M:M)</f>
        <v>4.140980345417021E-2</v>
      </c>
      <c r="G21" s="26">
        <f>AVERAGEIF(Calculations!D:D,A21,Calculations!P:P)</f>
        <v>5.4145184360018472E-2</v>
      </c>
    </row>
    <row r="22" spans="1:7" x14ac:dyDescent="0.35">
      <c r="A22" s="21" t="s">
        <v>30</v>
      </c>
      <c r="B22" s="26">
        <f>SUMIF(Calculations!D:D,A22,Calculations!J:J)/SUMIF(Calculations!D:D,A22,Calculations!E:E)</f>
        <v>0.11916342412451363</v>
      </c>
      <c r="C22" s="26">
        <f>SUMIF(Calculations!D:D,A22,Calculations!L:L)/SUMIF(Calculations!D:D,A22,Calculations!E:E)</f>
        <v>3.6964980544747082E-2</v>
      </c>
      <c r="D22" s="26">
        <f>SUMIF(Calculations!D:D,A22,Calculations!O:O)/SUMIF(Calculations!D:D,A22,Calculations!E:E)</f>
        <v>4.790856031128405E-2</v>
      </c>
      <c r="E22" s="26">
        <f>AVERAGEIF(Calculations!D:D,A22,Calculations!K:K)</f>
        <v>0.11206439089501211</v>
      </c>
      <c r="F22" s="26">
        <f>AVERAGEIF(Calculations!D:D,A22,Calculations!M:M)</f>
        <v>3.6549281566338916E-2</v>
      </c>
      <c r="G22" s="26">
        <f>AVERAGEIF(Calculations!D:D,A22,Calculations!P:P)</f>
        <v>5.5034205452132424E-2</v>
      </c>
    </row>
    <row r="23" spans="1:7" x14ac:dyDescent="0.35">
      <c r="A23" s="21" t="s">
        <v>31</v>
      </c>
      <c r="B23" s="26">
        <f>SUMIF(Calculations!D:D,A23,Calculations!J:J)/SUMIF(Calculations!D:D,A23,Calculations!E:E)</f>
        <v>0.11709423418846837</v>
      </c>
      <c r="C23" s="26">
        <f>SUMIF(Calculations!D:D,A23,Calculations!L:L)/SUMIF(Calculations!D:D,A23,Calculations!E:E)</f>
        <v>4.241808483616967E-2</v>
      </c>
      <c r="D23" s="26">
        <f>SUMIF(Calculations!D:D,A23,Calculations!O:O)/SUMIF(Calculations!D:D,A23,Calculations!E:E)</f>
        <v>4.9022098044196091E-2</v>
      </c>
      <c r="E23" s="26">
        <f>AVERAGEIF(Calculations!D:D,A23,Calculations!K:K)</f>
        <v>0.11217411239921053</v>
      </c>
      <c r="F23" s="26">
        <f>AVERAGEIF(Calculations!D:D,A23,Calculations!M:M)</f>
        <v>4.493474771436886E-2</v>
      </c>
      <c r="G23" s="26">
        <f>AVERAGEIF(Calculations!D:D,A23,Calculations!P:P)</f>
        <v>5.1190304187712088E-2</v>
      </c>
    </row>
    <row r="24" spans="1:7" x14ac:dyDescent="0.35">
      <c r="A24" s="21" t="s">
        <v>32</v>
      </c>
      <c r="B24" s="26">
        <f>SUMIF(Calculations!D:D,A24,Calculations!J:J)/SUMIF(Calculations!D:D,A24,Calculations!E:E)</f>
        <v>0.12225789192081327</v>
      </c>
      <c r="C24" s="26">
        <f>SUMIF(Calculations!D:D,A24,Calculations!L:L)/SUMIF(Calculations!D:D,A24,Calculations!E:E)</f>
        <v>3.8255751738897809E-2</v>
      </c>
      <c r="D24" s="26">
        <f>SUMIF(Calculations!D:D,A24,Calculations!O:O)/SUMIF(Calculations!D:D,A24,Calculations!E:E)</f>
        <v>4.9759229534510431E-2</v>
      </c>
      <c r="E24" s="26">
        <f>AVERAGEIF(Calculations!D:D,A24,Calculations!K:K)</f>
        <v>0.11458152603504486</v>
      </c>
      <c r="F24" s="26">
        <f>AVERAGEIF(Calculations!D:D,A24,Calculations!M:M)</f>
        <v>3.7960658886213208E-2</v>
      </c>
      <c r="G24" s="26">
        <f>AVERAGEIF(Calculations!D:D,A24,Calculations!P:P)</f>
        <v>6.0407720487399785E-2</v>
      </c>
    </row>
    <row r="25" spans="1:7" x14ac:dyDescent="0.35">
      <c r="A25" s="21" t="s">
        <v>33</v>
      </c>
      <c r="B25" s="26">
        <f>SUMIF(Calculations!D:D,A25,Calculations!J:J)/SUMIF(Calculations!D:D,A25,Calculations!E:E)</f>
        <v>0.12582085631731021</v>
      </c>
      <c r="C25" s="26">
        <f>SUMIF(Calculations!D:D,A25,Calculations!L:L)/SUMIF(Calculations!D:D,A25,Calculations!E:E)</f>
        <v>4.0451799317047545E-2</v>
      </c>
      <c r="D25" s="26">
        <f>SUMIF(Calculations!D:D,A25,Calculations!O:O)/SUMIF(Calculations!D:D,A25,Calculations!E:E)</f>
        <v>4.3866561597058054E-2</v>
      </c>
      <c r="E25" s="26">
        <f>AVERAGEIF(Calculations!D:D,A25,Calculations!K:K)</f>
        <v>0.11757065071031136</v>
      </c>
      <c r="F25" s="26">
        <f>AVERAGEIF(Calculations!D:D,A25,Calculations!M:M)</f>
        <v>4.1930759332371469E-2</v>
      </c>
      <c r="G25" s="26">
        <f>AVERAGEIF(Calculations!D:D,A25,Calculations!P:P)</f>
        <v>4.5362416285931503E-2</v>
      </c>
    </row>
    <row r="26" spans="1:7" x14ac:dyDescent="0.35">
      <c r="A26" s="21" t="s">
        <v>34</v>
      </c>
      <c r="B26" s="26">
        <f>SUMIF(Calculations!D:D,A26,Calculations!J:J)/SUMIF(Calculations!D:D,A26,Calculations!E:E)</f>
        <v>0.12822366835382021</v>
      </c>
      <c r="C26" s="26">
        <f>SUMIF(Calculations!D:D,A26,Calculations!L:L)/SUMIF(Calculations!D:D,A26,Calculations!E:E)</f>
        <v>5.0855627862135454E-2</v>
      </c>
      <c r="D26" s="26">
        <f>SUMIF(Calculations!D:D,A26,Calculations!O:O)/SUMIF(Calculations!D:D,A26,Calculations!E:E)</f>
        <v>4.8204386599180526E-2</v>
      </c>
      <c r="E26" s="26">
        <f>AVERAGEIF(Calculations!D:D,A26,Calculations!K:K)</f>
        <v>0.12845700145714112</v>
      </c>
      <c r="F26" s="26">
        <f>AVERAGEIF(Calculations!D:D,A26,Calculations!M:M)</f>
        <v>4.9631689021085487E-2</v>
      </c>
      <c r="G26" s="26">
        <f>AVERAGEIF(Calculations!D:D,A26,Calculations!P:P)</f>
        <v>5.6192788449393113E-2</v>
      </c>
    </row>
    <row r="27" spans="1:7" x14ac:dyDescent="0.35">
      <c r="A27" s="21" t="s">
        <v>35</v>
      </c>
      <c r="B27" s="26">
        <f>SUMIF(Calculations!D:D,A27,Calculations!J:J)/SUMIF(Calculations!D:D,A27,Calculations!E:E)</f>
        <v>0.11648453847942339</v>
      </c>
      <c r="C27" s="26">
        <f>SUMIF(Calculations!D:D,A27,Calculations!L:L)/SUMIF(Calculations!D:D,A27,Calculations!E:E)</f>
        <v>4.7663334108346896E-2</v>
      </c>
      <c r="D27" s="26">
        <f>SUMIF(Calculations!D:D,A27,Calculations!O:O)/SUMIF(Calculations!D:D,A27,Calculations!E:E)</f>
        <v>5.6963496861195069E-2</v>
      </c>
      <c r="E27" s="26">
        <f>AVERAGEIF(Calculations!D:D,A27,Calculations!K:K)</f>
        <v>0.11863705981440542</v>
      </c>
      <c r="F27" s="26">
        <f>AVERAGEIF(Calculations!D:D,A27,Calculations!M:M)</f>
        <v>4.9174398464197466E-2</v>
      </c>
      <c r="G27" s="26">
        <f>AVERAGEIF(Calculations!D:D,A27,Calculations!P:P)</f>
        <v>6.2073966643226494E-2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8380-11BF-4671-B053-2EC57B47DF78}">
  <dimension ref="A1:D15"/>
  <sheetViews>
    <sheetView showGridLines="0" workbookViewId="0">
      <selection activeCell="J16" sqref="J16"/>
    </sheetView>
  </sheetViews>
  <sheetFormatPr defaultRowHeight="14.5" x14ac:dyDescent="0.35"/>
  <cols>
    <col min="1" max="1" width="17.26953125" customWidth="1"/>
    <col min="2" max="2" width="16.6328125" bestFit="1" customWidth="1"/>
    <col min="3" max="3" width="18.26953125" bestFit="1" customWidth="1"/>
    <col min="4" max="4" width="21.36328125" bestFit="1" customWidth="1"/>
  </cols>
  <sheetData>
    <row r="1" spans="1:4" ht="15.5" x14ac:dyDescent="0.45">
      <c r="A1" s="24" t="s">
        <v>97</v>
      </c>
    </row>
    <row r="3" spans="1:4" x14ac:dyDescent="0.35">
      <c r="A3" s="20" t="s">
        <v>2</v>
      </c>
      <c r="B3" s="20" t="s">
        <v>98</v>
      </c>
      <c r="C3" s="20" t="s">
        <v>99</v>
      </c>
      <c r="D3" s="20" t="s">
        <v>100</v>
      </c>
    </row>
    <row r="4" spans="1:4" x14ac:dyDescent="0.35">
      <c r="A4" s="21" t="s">
        <v>11</v>
      </c>
      <c r="B4" s="26">
        <f>AVERAGEIF(Calculations!C:C,'Region Category'!A4,Calculations!K:K)</f>
        <v>0.11484512025477175</v>
      </c>
      <c r="C4" s="26">
        <f>AVERAGEIF(Calculations!C:C,'Region Category'!A4,Calculations!M:M)</f>
        <v>4.4228044821467624E-2</v>
      </c>
      <c r="D4" s="26">
        <f>AVERAGEIF(Calculations!C:C,'Region Category'!A4,Calculations!P:P)</f>
        <v>5.5648125134377717E-2</v>
      </c>
    </row>
    <row r="5" spans="1:4" x14ac:dyDescent="0.35">
      <c r="A5" s="21" t="s">
        <v>36</v>
      </c>
      <c r="B5" s="26">
        <f>AVERAGEIF(Calculations!C:C,'Region Category'!A5,Calculations!K:K)</f>
        <v>0.10991460535313001</v>
      </c>
      <c r="C5" s="26">
        <f>AVERAGEIF(Calculations!C:C,'Region Category'!A5,Calculations!M:M)</f>
        <v>4.4218366091088229E-2</v>
      </c>
      <c r="D5" s="26">
        <f>AVERAGEIF(Calculations!C:C,'Region Category'!A5,Calculations!P:P)</f>
        <v>4.8763850990555788E-2</v>
      </c>
    </row>
    <row r="6" spans="1:4" x14ac:dyDescent="0.35">
      <c r="A6" s="21" t="s">
        <v>37</v>
      </c>
      <c r="B6" s="26">
        <f>AVERAGEIF(Calculations!C:C,'Region Category'!A6,Calculations!K:K)</f>
        <v>0.11413236357516753</v>
      </c>
      <c r="C6" s="26">
        <f>AVERAGEIF(Calculations!C:C,'Region Category'!A6,Calculations!M:M)</f>
        <v>4.4646174444341581E-2</v>
      </c>
      <c r="D6" s="26">
        <f>AVERAGEIF(Calculations!C:C,'Region Category'!A6,Calculations!P:P)</f>
        <v>5.8900977200342007E-2</v>
      </c>
    </row>
    <row r="7" spans="1:4" x14ac:dyDescent="0.35">
      <c r="A7" s="21" t="s">
        <v>38</v>
      </c>
      <c r="B7" s="26">
        <f>AVERAGEIF(Calculations!C:C,'Region Category'!A7,Calculations!K:K)</f>
        <v>0.13018560736250367</v>
      </c>
      <c r="C7" s="26">
        <f>AVERAGEIF(Calculations!C:C,'Region Category'!A7,Calculations!M:M)</f>
        <v>4.0726182430154724E-2</v>
      </c>
      <c r="D7" s="26">
        <f>AVERAGEIF(Calculations!C:C,'Region Category'!A7,Calculations!P:P)</f>
        <v>5.2799064030616585E-2</v>
      </c>
    </row>
    <row r="10" spans="1:4" x14ac:dyDescent="0.35">
      <c r="A10" s="20" t="s">
        <v>1</v>
      </c>
      <c r="B10" s="20" t="s">
        <v>98</v>
      </c>
      <c r="C10" s="20" t="s">
        <v>99</v>
      </c>
      <c r="D10" s="20" t="s">
        <v>100</v>
      </c>
    </row>
    <row r="11" spans="1:4" x14ac:dyDescent="0.35">
      <c r="A11" s="21" t="s">
        <v>41</v>
      </c>
      <c r="B11" s="26">
        <f>AVERAGEIF(Calculations!B:B,'Region Category'!A11,Calculations!K:K)</f>
        <v>0.120235754084702</v>
      </c>
      <c r="C11" s="26">
        <f>AVERAGEIF(Calculations!B:B,'Region Category'!A11,Calculations!M:M)</f>
        <v>4.4418359676975071E-2</v>
      </c>
      <c r="D11" s="26">
        <f>AVERAGEIF(Calculations!B:B,'Region Category'!A11,Calculations!P:P)</f>
        <v>5.3655428896543872E-2</v>
      </c>
    </row>
    <row r="12" spans="1:4" x14ac:dyDescent="0.35">
      <c r="A12" s="21" t="s">
        <v>47</v>
      </c>
      <c r="B12" s="26">
        <f>AVERAGEIF(Calculations!B:B,'Region Category'!A12,Calculations!K:K)</f>
        <v>0.10153131201770067</v>
      </c>
      <c r="C12" s="26">
        <f>AVERAGEIF(Calculations!B:B,'Region Category'!A12,Calculations!M:M)</f>
        <v>4.2292989444218797E-2</v>
      </c>
      <c r="D12" s="26">
        <f>AVERAGEIF(Calculations!B:B,'Region Category'!A12,Calculations!P:P)</f>
        <v>5.5921615438312422E-2</v>
      </c>
    </row>
    <row r="13" spans="1:4" x14ac:dyDescent="0.35">
      <c r="A13" s="21" t="s">
        <v>10</v>
      </c>
      <c r="B13" s="26">
        <f>AVERAGEIF(Calculations!B:B,'Region Category'!A13,Calculations!K:K)</f>
        <v>0.12735022635767593</v>
      </c>
      <c r="C13" s="26">
        <f>AVERAGEIF(Calculations!B:B,'Region Category'!A13,Calculations!M:M)</f>
        <v>4.6823789506320455E-2</v>
      </c>
      <c r="D13" s="26">
        <f>AVERAGEIF(Calculations!B:B,'Region Category'!A13,Calculations!P:P)</f>
        <v>5.3821755885725943E-2</v>
      </c>
    </row>
    <row r="14" spans="1:4" x14ac:dyDescent="0.35">
      <c r="A14" s="21" t="s">
        <v>50</v>
      </c>
      <c r="B14" s="26">
        <f>AVERAGEIF(Calculations!B:B,'Region Category'!A14,Calculations!K:K)</f>
        <v>0.11898944515637566</v>
      </c>
      <c r="C14" s="26">
        <f>AVERAGEIF(Calculations!B:B,'Region Category'!A14,Calculations!M:M)</f>
        <v>4.0651864259214215E-2</v>
      </c>
      <c r="D14" s="26">
        <f>AVERAGEIF(Calculations!B:B,'Region Category'!A14,Calculations!P:P)</f>
        <v>5.6042256906987269E-2</v>
      </c>
    </row>
    <row r="15" spans="1:4" x14ac:dyDescent="0.35">
      <c r="A15" s="21" t="s">
        <v>44</v>
      </c>
      <c r="B15" s="26">
        <f>AVERAGEIF(Calculations!B:B,'Region Category'!A15,Calculations!K:K)</f>
        <v>0.11824038306551161</v>
      </c>
      <c r="C15" s="26">
        <f>AVERAGEIF(Calculations!B:B,'Region Category'!A15,Calculations!M:M)</f>
        <v>4.3086456847086667E-2</v>
      </c>
      <c r="D15" s="26">
        <f>AVERAGEIF(Calculations!B:B,'Region Category'!A15,Calculations!P:P)</f>
        <v>5.0698964567295592E-2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B32B-471C-4F58-B169-D8A1EFB38124}">
  <dimension ref="A1:H13"/>
  <sheetViews>
    <sheetView showGridLines="0" tabSelected="1" workbookViewId="0">
      <selection activeCell="G15" sqref="G15"/>
    </sheetView>
  </sheetViews>
  <sheetFormatPr defaultRowHeight="16" customHeight="1" x14ac:dyDescent="0.35"/>
  <cols>
    <col min="1" max="1" width="14.453125" customWidth="1"/>
    <col min="2" max="2" width="17.6328125" bestFit="1" customWidth="1"/>
    <col min="3" max="3" width="18.81640625" bestFit="1" customWidth="1"/>
    <col min="4" max="4" width="11.1796875" bestFit="1" customWidth="1"/>
    <col min="5" max="5" width="14.08984375" bestFit="1" customWidth="1"/>
    <col min="6" max="6" width="17.08984375" bestFit="1" customWidth="1"/>
    <col min="7" max="7" width="18.6328125" bestFit="1" customWidth="1"/>
    <col min="8" max="8" width="21.7265625" bestFit="1" customWidth="1"/>
  </cols>
  <sheetData>
    <row r="1" spans="1:8" ht="16" customHeight="1" x14ac:dyDescent="0.45">
      <c r="A1" s="4" t="s">
        <v>101</v>
      </c>
      <c r="B1" s="1"/>
      <c r="C1" s="1"/>
      <c r="D1" s="1"/>
      <c r="E1" s="1"/>
      <c r="F1" s="1"/>
      <c r="G1" s="1"/>
      <c r="H1" s="1"/>
    </row>
    <row r="2" spans="1:8" ht="16" customHeight="1" x14ac:dyDescent="0.35">
      <c r="A2" s="1"/>
      <c r="B2" s="1"/>
      <c r="C2" s="1"/>
      <c r="D2" s="1"/>
      <c r="E2" s="1"/>
      <c r="F2" s="1"/>
      <c r="G2" s="1"/>
      <c r="H2" s="1"/>
    </row>
    <row r="3" spans="1:8" ht="16" customHeight="1" x14ac:dyDescent="0.35">
      <c r="A3" s="25" t="s">
        <v>0</v>
      </c>
      <c r="B3" s="25" t="s">
        <v>1</v>
      </c>
      <c r="C3" s="25" t="s">
        <v>107</v>
      </c>
      <c r="D3" s="25" t="s">
        <v>102</v>
      </c>
      <c r="E3" s="25" t="s">
        <v>103</v>
      </c>
      <c r="F3" s="25" t="s">
        <v>104</v>
      </c>
      <c r="G3" s="25" t="s">
        <v>105</v>
      </c>
      <c r="H3" s="25" t="s">
        <v>106</v>
      </c>
    </row>
    <row r="4" spans="1:8" ht="16" customHeight="1" x14ac:dyDescent="0.35">
      <c r="A4" s="21" t="s">
        <v>40</v>
      </c>
      <c r="B4" s="21" t="s">
        <v>44</v>
      </c>
      <c r="C4" s="21">
        <f>SUMIF(Calculations!A:A,SKU_Pareto!A4,Calculations!E:E)</f>
        <v>11860</v>
      </c>
      <c r="D4" s="26">
        <f>C4/SUM(Calculations!E:E)</f>
        <v>0.10586733555303632</v>
      </c>
      <c r="E4" s="26">
        <f>D4</f>
        <v>0.10586733555303632</v>
      </c>
      <c r="F4" s="26">
        <f>SUMIF(Calculations!A:A,SKU_Pareto!A4,Calculations!J:J)/SKU_Pareto!C4</f>
        <v>0.13364249578414839</v>
      </c>
      <c r="G4" s="26">
        <f>SUMIF(Calculations!A:A,SKU_Pareto!A4,Calculations!L:L)/SKU_Pareto!C4</f>
        <v>4.3086003372681279E-2</v>
      </c>
      <c r="H4" s="26">
        <f>SUMIF(Calculations!A:A,SKU_Pareto!A4,Calculations!O:O)/SKU_Pareto!C4</f>
        <v>5.3794266441821247E-2</v>
      </c>
    </row>
    <row r="5" spans="1:8" ht="16" customHeight="1" x14ac:dyDescent="0.35">
      <c r="A5" s="21" t="s">
        <v>42</v>
      </c>
      <c r="B5" s="21" t="s">
        <v>41</v>
      </c>
      <c r="C5" s="21">
        <f>SUMIF(Calculations!A:A,SKU_Pareto!A5,Calculations!E:E)</f>
        <v>12590</v>
      </c>
      <c r="D5" s="26">
        <f>C5/SUM(Calculations!E:E)</f>
        <v>0.11238362180545761</v>
      </c>
      <c r="E5" s="26">
        <f>E4+D5</f>
        <v>0.21825095735849392</v>
      </c>
      <c r="F5" s="26">
        <f>SUMIF(Calculations!A:A,SKU_Pareto!A5,Calculations!J:J)/SKU_Pareto!C5</f>
        <v>0.1221604447974583</v>
      </c>
      <c r="G5" s="26">
        <f>SUMIF(Calculations!A:A,SKU_Pareto!A5,Calculations!L:L)/SKU_Pareto!C5</f>
        <v>4.6703733121525016E-2</v>
      </c>
      <c r="H5" s="26">
        <f>SUMIF(Calculations!A:A,SKU_Pareto!A5,Calculations!O:O)/SKU_Pareto!C5</f>
        <v>4.575059571088165E-2</v>
      </c>
    </row>
    <row r="6" spans="1:8" ht="16" customHeight="1" x14ac:dyDescent="0.35">
      <c r="A6" s="21" t="s">
        <v>46</v>
      </c>
      <c r="B6" s="21" t="s">
        <v>50</v>
      </c>
      <c r="C6" s="21">
        <f>SUMIF(Calculations!A:A,SKU_Pareto!A6,Calculations!E:E)</f>
        <v>10863</v>
      </c>
      <c r="D6" s="26">
        <f>C6/SUM(Calculations!E:E)</f>
        <v>9.6967695287743128E-2</v>
      </c>
      <c r="E6" s="26">
        <f>E5+D6</f>
        <v>0.31521865264623705</v>
      </c>
      <c r="F6" s="26">
        <f>SUMIF(Calculations!A:A,SKU_Pareto!A6,Calculations!J:J)/SKU_Pareto!C6</f>
        <v>0.11157138911902789</v>
      </c>
      <c r="G6" s="26">
        <f>SUMIF(Calculations!A:A,SKU_Pareto!A6,Calculations!L:L)/SKU_Pareto!C6</f>
        <v>3.6361962625425757E-2</v>
      </c>
      <c r="H6" s="26">
        <f>SUMIF(Calculations!A:A,SKU_Pareto!A6,Calculations!O:O)/SKU_Pareto!C6</f>
        <v>4.5015189174261255E-2</v>
      </c>
    </row>
    <row r="7" spans="1:8" ht="16" customHeight="1" x14ac:dyDescent="0.35">
      <c r="A7" s="21" t="s">
        <v>48</v>
      </c>
      <c r="B7" s="21" t="s">
        <v>41</v>
      </c>
      <c r="C7" s="21">
        <f>SUMIF(Calculations!A:A,SKU_Pareto!A7,Calculations!E:E)</f>
        <v>10305</v>
      </c>
      <c r="D7" s="26">
        <f>C7/SUM(Calculations!E:E)</f>
        <v>9.1986753193426585E-2</v>
      </c>
      <c r="E7" s="26">
        <f t="shared" ref="E7:E13" si="0">E6+D7</f>
        <v>0.40720540583966364</v>
      </c>
      <c r="F7" s="26">
        <f>SUMIF(Calculations!A:A,SKU_Pareto!A7,Calculations!J:J)/SKU_Pareto!C7</f>
        <v>9.674915089762251E-2</v>
      </c>
      <c r="G7" s="26">
        <f>SUMIF(Calculations!A:A,SKU_Pareto!A7,Calculations!L:L)/SKU_Pareto!C7</f>
        <v>4.8131974769529358E-2</v>
      </c>
      <c r="H7" s="26">
        <f>SUMIF(Calculations!A:A,SKU_Pareto!A7,Calculations!O:O)/SKU_Pareto!C7</f>
        <v>5.0557981562348378E-2</v>
      </c>
    </row>
    <row r="8" spans="1:8" ht="16" customHeight="1" x14ac:dyDescent="0.35">
      <c r="A8" s="21" t="s">
        <v>9</v>
      </c>
      <c r="B8" s="21" t="s">
        <v>47</v>
      </c>
      <c r="C8" s="21">
        <f>SUMIF(Calculations!A:A,SKU_Pareto!A8,Calculations!E:E)</f>
        <v>10825</v>
      </c>
      <c r="D8" s="26">
        <f>C8/SUM(Calculations!E:E)</f>
        <v>9.6628491345836273E-2</v>
      </c>
      <c r="E8" s="26">
        <f t="shared" si="0"/>
        <v>0.50383389718549987</v>
      </c>
      <c r="F8" s="26">
        <f>SUMIF(Calculations!A:A,SKU_Pareto!A8,Calculations!J:J)/SKU_Pareto!C8</f>
        <v>0.13219399538106236</v>
      </c>
      <c r="G8" s="26">
        <f>SUMIF(Calculations!A:A,SKU_Pareto!A8,Calculations!L:L)/SKU_Pareto!C8</f>
        <v>4.1570438799076209E-2</v>
      </c>
      <c r="H8" s="26">
        <f>SUMIF(Calculations!A:A,SKU_Pareto!A8,Calculations!O:O)/SKU_Pareto!C8</f>
        <v>4.8591224018475751E-2</v>
      </c>
    </row>
    <row r="9" spans="1:8" ht="16" customHeight="1" x14ac:dyDescent="0.35">
      <c r="A9" s="21" t="s">
        <v>39</v>
      </c>
      <c r="B9" s="21" t="s">
        <v>10</v>
      </c>
      <c r="C9" s="21">
        <f>SUMIF(Calculations!A:A,SKU_Pareto!A9,Calculations!E:E)</f>
        <v>10240</v>
      </c>
      <c r="D9" s="26">
        <f>C9/SUM(Calculations!E:E)</f>
        <v>9.1406535924375379E-2</v>
      </c>
      <c r="E9" s="26">
        <f t="shared" si="0"/>
        <v>0.59524043310987529</v>
      </c>
      <c r="F9" s="26">
        <f>SUMIF(Calculations!A:A,SKU_Pareto!A9,Calculations!J:J)/SKU_Pareto!C9</f>
        <v>0.12431640625</v>
      </c>
      <c r="G9" s="26">
        <f>SUMIF(Calculations!A:A,SKU_Pareto!A9,Calculations!L:L)/SKU_Pareto!C9</f>
        <v>5.1660156249999999E-2</v>
      </c>
      <c r="H9" s="26">
        <f>SUMIF(Calculations!A:A,SKU_Pareto!A9,Calculations!O:O)/SKU_Pareto!C9</f>
        <v>5.6054687499999999E-2</v>
      </c>
    </row>
    <row r="10" spans="1:8" ht="16" customHeight="1" x14ac:dyDescent="0.35">
      <c r="A10" s="21" t="s">
        <v>43</v>
      </c>
      <c r="B10" s="21" t="s">
        <v>47</v>
      </c>
      <c r="C10" s="21">
        <f>SUMIF(Calculations!A:A,SKU_Pareto!A10,Calculations!E:E)</f>
        <v>15322</v>
      </c>
      <c r="D10" s="26">
        <f>C10/SUM(Calculations!E:E)</f>
        <v>0.13677059994465621</v>
      </c>
      <c r="E10" s="26">
        <f t="shared" si="0"/>
        <v>0.73201103305453152</v>
      </c>
      <c r="F10" s="26">
        <f>SUMIF(Calculations!A:A,SKU_Pareto!A10,Calculations!J:J)/SKU_Pareto!C10</f>
        <v>9.3329852499673668E-2</v>
      </c>
      <c r="G10" s="26">
        <f>SUMIF(Calculations!A:A,SKU_Pareto!A10,Calculations!L:L)/SKU_Pareto!C10</f>
        <v>4.4772222947395898E-2</v>
      </c>
      <c r="H10" s="26">
        <f>SUMIF(Calculations!A:A,SKU_Pareto!A10,Calculations!O:O)/SKU_Pareto!C10</f>
        <v>4.8688160814515075E-2</v>
      </c>
    </row>
    <row r="11" spans="1:8" ht="16" customHeight="1" x14ac:dyDescent="0.35">
      <c r="A11" s="21" t="s">
        <v>45</v>
      </c>
      <c r="B11" s="21" t="s">
        <v>10</v>
      </c>
      <c r="C11" s="21">
        <f>SUMIF(Calculations!A:A,SKU_Pareto!A11,Calculations!E:E)</f>
        <v>9572</v>
      </c>
      <c r="D11" s="26">
        <f>C11/SUM(Calculations!E:E)</f>
        <v>8.5443687682433697E-2</v>
      </c>
      <c r="E11" s="26">
        <f t="shared" si="0"/>
        <v>0.81745472073696523</v>
      </c>
      <c r="F11" s="26">
        <f>SUMIF(Calculations!A:A,SKU_Pareto!A11,Calculations!J:J)/SKU_Pareto!C11</f>
        <v>0.13163393230254911</v>
      </c>
      <c r="G11" s="26">
        <f>SUMIF(Calculations!A:A,SKU_Pareto!A11,Calculations!L:L)/SKU_Pareto!C11</f>
        <v>4.2937735060593396E-2</v>
      </c>
      <c r="H11" s="26">
        <f>SUMIF(Calculations!A:A,SKU_Pareto!A11,Calculations!O:O)/SKU_Pareto!C11</f>
        <v>4.7638946928541578E-2</v>
      </c>
    </row>
    <row r="12" spans="1:8" ht="16" customHeight="1" x14ac:dyDescent="0.35">
      <c r="A12" s="21" t="s">
        <v>49</v>
      </c>
      <c r="B12" s="21" t="s">
        <v>44</v>
      </c>
      <c r="C12" s="21">
        <f>SUMIF(Calculations!A:A,SKU_Pareto!A12,Calculations!E:E)</f>
        <v>12475</v>
      </c>
      <c r="D12" s="26">
        <f>C12/SUM(Calculations!E:E)</f>
        <v>0.11135708356021316</v>
      </c>
      <c r="E12" s="26">
        <f t="shared" si="0"/>
        <v>0.92881180429717836</v>
      </c>
      <c r="F12" s="26">
        <f>SUMIF(Calculations!A:A,SKU_Pareto!A12,Calculations!J:J)/SKU_Pareto!C12</f>
        <v>0.1622444889779559</v>
      </c>
      <c r="G12" s="26">
        <f>SUMIF(Calculations!A:A,SKU_Pareto!A12,Calculations!L:L)/SKU_Pareto!C12</f>
        <v>3.9599198396793586E-2</v>
      </c>
      <c r="H12" s="26">
        <f>SUMIF(Calculations!A:A,SKU_Pareto!A12,Calculations!O:O)/SKU_Pareto!C12</f>
        <v>4.4328657314629261E-2</v>
      </c>
    </row>
    <row r="13" spans="1:8" ht="16" customHeight="1" x14ac:dyDescent="0.35">
      <c r="A13" s="21" t="s">
        <v>51</v>
      </c>
      <c r="B13" s="21" t="s">
        <v>50</v>
      </c>
      <c r="C13" s="21">
        <f>SUMIF(Calculations!A:A,SKU_Pareto!A13,Calculations!E:E)</f>
        <v>7975</v>
      </c>
      <c r="D13" s="26">
        <f>C13/SUM(Calculations!E:E)</f>
        <v>7.1188195702821644E-2</v>
      </c>
      <c r="E13" s="26">
        <f t="shared" si="0"/>
        <v>1</v>
      </c>
      <c r="F13" s="26">
        <f>SUMIF(Calculations!A:A,SKU_Pareto!A13,Calculations!J:J)/SKU_Pareto!C13</f>
        <v>9.3793103448275864E-2</v>
      </c>
      <c r="G13" s="26">
        <f>SUMIF(Calculations!A:A,SKU_Pareto!A13,Calculations!L:L)/SKU_Pareto!C13</f>
        <v>4.200626959247649E-2</v>
      </c>
      <c r="H13" s="26">
        <f>SUMIF(Calculations!A:A,SKU_Pareto!A13,Calculations!O:O)/SKU_Pareto!C13</f>
        <v>5.1661442006269591E-2</v>
      </c>
    </row>
  </sheetData>
  <sortState xmlns:xlrd2="http://schemas.microsoft.com/office/spreadsheetml/2017/richdata2" ref="A4:A13">
    <sortCondition ref="A4:A13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112C-9AB5-4CD1-AE00-FA467446ACC4}">
  <dimension ref="A1:D56"/>
  <sheetViews>
    <sheetView topLeftCell="A2" workbookViewId="0">
      <selection activeCell="E9" sqref="E9"/>
    </sheetView>
  </sheetViews>
  <sheetFormatPr defaultRowHeight="14.5" x14ac:dyDescent="0.35"/>
  <cols>
    <col min="1" max="1" width="16.81640625" bestFit="1" customWidth="1"/>
    <col min="2" max="2" width="17.7265625" bestFit="1" customWidth="1"/>
    <col min="3" max="3" width="24.36328125" bestFit="1" customWidth="1"/>
    <col min="4" max="5" width="23.54296875" bestFit="1" customWidth="1"/>
    <col min="6" max="25" width="7.453125" bestFit="1" customWidth="1"/>
    <col min="26" max="26" width="24.36328125" bestFit="1" customWidth="1"/>
    <col min="27" max="49" width="7.453125" bestFit="1" customWidth="1"/>
    <col min="50" max="50" width="23.54296875" bestFit="1" customWidth="1"/>
    <col min="51" max="73" width="7.453125" bestFit="1" customWidth="1"/>
    <col min="74" max="74" width="22.54296875" bestFit="1" customWidth="1"/>
    <col min="75" max="75" width="29.26953125" bestFit="1" customWidth="1"/>
    <col min="76" max="76" width="28.36328125" bestFit="1" customWidth="1"/>
    <col min="77" max="97" width="7.453125" bestFit="1" customWidth="1"/>
    <col min="98" max="98" width="22.54296875" bestFit="1" customWidth="1"/>
    <col min="99" max="99" width="23.81640625" bestFit="1" customWidth="1"/>
    <col min="100" max="100" width="29.26953125" bestFit="1" customWidth="1"/>
    <col min="101" max="101" width="28.36328125" bestFit="1" customWidth="1"/>
    <col min="102" max="121" width="7.453125" bestFit="1" customWidth="1"/>
    <col min="122" max="122" width="22.54296875" bestFit="1" customWidth="1"/>
    <col min="123" max="123" width="23.81640625" bestFit="1" customWidth="1"/>
    <col min="124" max="124" width="25.453125" bestFit="1" customWidth="1"/>
    <col min="125" max="125" width="29.26953125" bestFit="1" customWidth="1"/>
    <col min="126" max="126" width="28.36328125" bestFit="1" customWidth="1"/>
    <col min="127" max="208" width="3.81640625" bestFit="1" customWidth="1"/>
    <col min="209" max="209" width="10.7265625" bestFit="1" customWidth="1"/>
  </cols>
  <sheetData>
    <row r="1" spans="1:4" x14ac:dyDescent="0.35">
      <c r="A1" s="33" t="s">
        <v>3</v>
      </c>
      <c r="B1" t="s">
        <v>112</v>
      </c>
    </row>
    <row r="2" spans="1:4" x14ac:dyDescent="0.35">
      <c r="A2" s="33" t="s">
        <v>8</v>
      </c>
      <c r="B2" t="s">
        <v>112</v>
      </c>
    </row>
    <row r="3" spans="1:4" x14ac:dyDescent="0.35">
      <c r="A3" s="33" t="s">
        <v>7</v>
      </c>
      <c r="B3" t="s">
        <v>112</v>
      </c>
    </row>
    <row r="5" spans="1:4" x14ac:dyDescent="0.35">
      <c r="B5" t="s">
        <v>109</v>
      </c>
      <c r="C5" t="s">
        <v>111</v>
      </c>
      <c r="D5" t="s">
        <v>110</v>
      </c>
    </row>
    <row r="6" spans="1:4" x14ac:dyDescent="0.35">
      <c r="A6" s="34" t="s">
        <v>40</v>
      </c>
      <c r="B6" s="36">
        <v>11860</v>
      </c>
      <c r="C6" s="36">
        <v>11755</v>
      </c>
      <c r="D6" s="36">
        <v>13073</v>
      </c>
    </row>
    <row r="7" spans="1:4" x14ac:dyDescent="0.35">
      <c r="A7" s="35" t="s">
        <v>11</v>
      </c>
      <c r="B7" s="36">
        <v>1395</v>
      </c>
      <c r="C7" s="36">
        <v>1385</v>
      </c>
      <c r="D7" s="36">
        <v>1590</v>
      </c>
    </row>
    <row r="8" spans="1:4" x14ac:dyDescent="0.35">
      <c r="A8" s="35" t="s">
        <v>36</v>
      </c>
      <c r="B8" s="36">
        <v>4215</v>
      </c>
      <c r="C8" s="36">
        <v>4165</v>
      </c>
      <c r="D8" s="36">
        <v>4686</v>
      </c>
    </row>
    <row r="9" spans="1:4" x14ac:dyDescent="0.35">
      <c r="A9" s="35" t="s">
        <v>37</v>
      </c>
      <c r="B9" s="36">
        <v>1843</v>
      </c>
      <c r="C9" s="36">
        <v>1837</v>
      </c>
      <c r="D9" s="36">
        <v>1768</v>
      </c>
    </row>
    <row r="10" spans="1:4" x14ac:dyDescent="0.35">
      <c r="A10" s="35" t="s">
        <v>38</v>
      </c>
      <c r="B10" s="36">
        <v>4407</v>
      </c>
      <c r="C10" s="36">
        <v>4368</v>
      </c>
      <c r="D10" s="36">
        <v>5029</v>
      </c>
    </row>
    <row r="11" spans="1:4" x14ac:dyDescent="0.35">
      <c r="A11" s="34" t="s">
        <v>42</v>
      </c>
      <c r="B11" s="36">
        <v>12590</v>
      </c>
      <c r="C11" s="36">
        <v>12578</v>
      </c>
      <c r="D11" s="36">
        <v>13806</v>
      </c>
    </row>
    <row r="12" spans="1:4" x14ac:dyDescent="0.35">
      <c r="A12" s="35" t="s">
        <v>11</v>
      </c>
      <c r="B12" s="36">
        <v>1829</v>
      </c>
      <c r="C12" s="36">
        <v>1853</v>
      </c>
      <c r="D12" s="36">
        <v>1899</v>
      </c>
    </row>
    <row r="13" spans="1:4" x14ac:dyDescent="0.35">
      <c r="A13" s="35" t="s">
        <v>36</v>
      </c>
      <c r="B13" s="36">
        <v>3752</v>
      </c>
      <c r="C13" s="36">
        <v>3779</v>
      </c>
      <c r="D13" s="36">
        <v>4078</v>
      </c>
    </row>
    <row r="14" spans="1:4" x14ac:dyDescent="0.35">
      <c r="A14" s="35" t="s">
        <v>37</v>
      </c>
      <c r="B14" s="36">
        <v>4132</v>
      </c>
      <c r="C14" s="36">
        <v>4144</v>
      </c>
      <c r="D14" s="36">
        <v>4783</v>
      </c>
    </row>
    <row r="15" spans="1:4" x14ac:dyDescent="0.35">
      <c r="A15" s="35" t="s">
        <v>38</v>
      </c>
      <c r="B15" s="36">
        <v>2877</v>
      </c>
      <c r="C15" s="36">
        <v>2802</v>
      </c>
      <c r="D15" s="36">
        <v>3046</v>
      </c>
    </row>
    <row r="16" spans="1:4" x14ac:dyDescent="0.35">
      <c r="A16" s="34" t="s">
        <v>46</v>
      </c>
      <c r="B16" s="36">
        <v>10863</v>
      </c>
      <c r="C16" s="36">
        <v>10800</v>
      </c>
      <c r="D16" s="36">
        <v>11149</v>
      </c>
    </row>
    <row r="17" spans="1:4" x14ac:dyDescent="0.35">
      <c r="A17" s="35" t="s">
        <v>11</v>
      </c>
      <c r="B17" s="36">
        <v>2524</v>
      </c>
      <c r="C17" s="36">
        <v>2514</v>
      </c>
      <c r="D17" s="36">
        <v>2883</v>
      </c>
    </row>
    <row r="18" spans="1:4" x14ac:dyDescent="0.35">
      <c r="A18" s="35" t="s">
        <v>36</v>
      </c>
      <c r="B18" s="36">
        <v>3317</v>
      </c>
      <c r="C18" s="36">
        <v>3300</v>
      </c>
      <c r="D18" s="36">
        <v>2958</v>
      </c>
    </row>
    <row r="19" spans="1:4" x14ac:dyDescent="0.35">
      <c r="A19" s="35" t="s">
        <v>37</v>
      </c>
      <c r="B19" s="36">
        <v>1473</v>
      </c>
      <c r="C19" s="36">
        <v>1463</v>
      </c>
      <c r="D19" s="36">
        <v>1544</v>
      </c>
    </row>
    <row r="20" spans="1:4" x14ac:dyDescent="0.35">
      <c r="A20" s="35" t="s">
        <v>38</v>
      </c>
      <c r="B20" s="36">
        <v>3549</v>
      </c>
      <c r="C20" s="36">
        <v>3523</v>
      </c>
      <c r="D20" s="36">
        <v>3764</v>
      </c>
    </row>
    <row r="21" spans="1:4" x14ac:dyDescent="0.35">
      <c r="A21" s="34" t="s">
        <v>48</v>
      </c>
      <c r="B21" s="36">
        <v>10305</v>
      </c>
      <c r="C21" s="36">
        <v>10243</v>
      </c>
      <c r="D21" s="36">
        <v>10556</v>
      </c>
    </row>
    <row r="22" spans="1:4" x14ac:dyDescent="0.35">
      <c r="A22" s="35" t="s">
        <v>11</v>
      </c>
      <c r="B22" s="36">
        <v>4054</v>
      </c>
      <c r="C22" s="36">
        <v>4029</v>
      </c>
      <c r="D22" s="36">
        <v>4434</v>
      </c>
    </row>
    <row r="23" spans="1:4" x14ac:dyDescent="0.35">
      <c r="A23" s="35" t="s">
        <v>36</v>
      </c>
      <c r="B23" s="36">
        <v>3716</v>
      </c>
      <c r="C23" s="36">
        <v>3703</v>
      </c>
      <c r="D23" s="36">
        <v>3467</v>
      </c>
    </row>
    <row r="24" spans="1:4" x14ac:dyDescent="0.35">
      <c r="A24" s="35" t="s">
        <v>37</v>
      </c>
      <c r="B24" s="36">
        <v>1183</v>
      </c>
      <c r="C24" s="36">
        <v>1167</v>
      </c>
      <c r="D24" s="36">
        <v>1204</v>
      </c>
    </row>
    <row r="25" spans="1:4" x14ac:dyDescent="0.35">
      <c r="A25" s="35" t="s">
        <v>38</v>
      </c>
      <c r="B25" s="36">
        <v>1352</v>
      </c>
      <c r="C25" s="36">
        <v>1344</v>
      </c>
      <c r="D25" s="36">
        <v>1451</v>
      </c>
    </row>
    <row r="26" spans="1:4" x14ac:dyDescent="0.35">
      <c r="A26" s="34" t="s">
        <v>9</v>
      </c>
      <c r="B26" s="36">
        <v>10825</v>
      </c>
      <c r="C26" s="36">
        <v>10743</v>
      </c>
      <c r="D26" s="36">
        <v>12014</v>
      </c>
    </row>
    <row r="27" spans="1:4" x14ac:dyDescent="0.35">
      <c r="A27" s="35" t="s">
        <v>11</v>
      </c>
      <c r="B27" s="36">
        <v>3187</v>
      </c>
      <c r="C27" s="36">
        <v>3140</v>
      </c>
      <c r="D27" s="36">
        <v>3574</v>
      </c>
    </row>
    <row r="28" spans="1:4" x14ac:dyDescent="0.35">
      <c r="A28" s="35" t="s">
        <v>36</v>
      </c>
      <c r="B28" s="36">
        <v>2638</v>
      </c>
      <c r="C28" s="36">
        <v>2620</v>
      </c>
      <c r="D28" s="36">
        <v>2645</v>
      </c>
    </row>
    <row r="29" spans="1:4" x14ac:dyDescent="0.35">
      <c r="A29" s="35" t="s">
        <v>37</v>
      </c>
      <c r="B29" s="36">
        <v>1591</v>
      </c>
      <c r="C29" s="36">
        <v>1564</v>
      </c>
      <c r="D29" s="36">
        <v>1805</v>
      </c>
    </row>
    <row r="30" spans="1:4" x14ac:dyDescent="0.35">
      <c r="A30" s="35" t="s">
        <v>38</v>
      </c>
      <c r="B30" s="36">
        <v>3409</v>
      </c>
      <c r="C30" s="36">
        <v>3419</v>
      </c>
      <c r="D30" s="36">
        <v>3990</v>
      </c>
    </row>
    <row r="31" spans="1:4" x14ac:dyDescent="0.35">
      <c r="A31" s="34" t="s">
        <v>39</v>
      </c>
      <c r="B31" s="36">
        <v>10240</v>
      </c>
      <c r="C31" s="36">
        <v>10135</v>
      </c>
      <c r="D31" s="36">
        <v>10511</v>
      </c>
    </row>
    <row r="32" spans="1:4" x14ac:dyDescent="0.35">
      <c r="A32" s="35" t="s">
        <v>11</v>
      </c>
      <c r="B32" s="36">
        <v>2049</v>
      </c>
      <c r="C32" s="36">
        <v>2069</v>
      </c>
      <c r="D32" s="36">
        <v>2220</v>
      </c>
    </row>
    <row r="33" spans="1:4" x14ac:dyDescent="0.35">
      <c r="A33" s="35" t="s">
        <v>36</v>
      </c>
      <c r="B33" s="36">
        <v>3220</v>
      </c>
      <c r="C33" s="36">
        <v>3189</v>
      </c>
      <c r="D33" s="36">
        <v>3069</v>
      </c>
    </row>
    <row r="34" spans="1:4" x14ac:dyDescent="0.35">
      <c r="A34" s="35" t="s">
        <v>37</v>
      </c>
      <c r="B34" s="36">
        <v>2385</v>
      </c>
      <c r="C34" s="36">
        <v>2305</v>
      </c>
      <c r="D34" s="36">
        <v>2173</v>
      </c>
    </row>
    <row r="35" spans="1:4" x14ac:dyDescent="0.35">
      <c r="A35" s="35" t="s">
        <v>38</v>
      </c>
      <c r="B35" s="36">
        <v>2586</v>
      </c>
      <c r="C35" s="36">
        <v>2572</v>
      </c>
      <c r="D35" s="36">
        <v>3049</v>
      </c>
    </row>
    <row r="36" spans="1:4" x14ac:dyDescent="0.35">
      <c r="A36" s="34" t="s">
        <v>43</v>
      </c>
      <c r="B36" s="36">
        <v>15322</v>
      </c>
      <c r="C36" s="36">
        <v>15186</v>
      </c>
      <c r="D36" s="36">
        <v>15820</v>
      </c>
    </row>
    <row r="37" spans="1:4" x14ac:dyDescent="0.35">
      <c r="A37" s="35" t="s">
        <v>11</v>
      </c>
      <c r="B37" s="36">
        <v>3063</v>
      </c>
      <c r="C37" s="36">
        <v>3110</v>
      </c>
      <c r="D37" s="36">
        <v>2951</v>
      </c>
    </row>
    <row r="38" spans="1:4" x14ac:dyDescent="0.35">
      <c r="A38" s="35" t="s">
        <v>36</v>
      </c>
      <c r="B38" s="36">
        <v>3888</v>
      </c>
      <c r="C38" s="36">
        <v>3820</v>
      </c>
      <c r="D38" s="36">
        <v>4183</v>
      </c>
    </row>
    <row r="39" spans="1:4" x14ac:dyDescent="0.35">
      <c r="A39" s="35" t="s">
        <v>37</v>
      </c>
      <c r="B39" s="36">
        <v>4467</v>
      </c>
      <c r="C39" s="36">
        <v>4423</v>
      </c>
      <c r="D39" s="36">
        <v>4519</v>
      </c>
    </row>
    <row r="40" spans="1:4" x14ac:dyDescent="0.35">
      <c r="A40" s="35" t="s">
        <v>38</v>
      </c>
      <c r="B40" s="36">
        <v>3904</v>
      </c>
      <c r="C40" s="36">
        <v>3833</v>
      </c>
      <c r="D40" s="36">
        <v>4167</v>
      </c>
    </row>
    <row r="41" spans="1:4" x14ac:dyDescent="0.35">
      <c r="A41" s="34" t="s">
        <v>45</v>
      </c>
      <c r="B41" s="36">
        <v>9572</v>
      </c>
      <c r="C41" s="36">
        <v>9547</v>
      </c>
      <c r="D41" s="36">
        <v>10718</v>
      </c>
    </row>
    <row r="42" spans="1:4" x14ac:dyDescent="0.35">
      <c r="A42" s="35" t="s">
        <v>11</v>
      </c>
      <c r="B42" s="36">
        <v>1504</v>
      </c>
      <c r="C42" s="36">
        <v>1494</v>
      </c>
      <c r="D42" s="36">
        <v>1813</v>
      </c>
    </row>
    <row r="43" spans="1:4" x14ac:dyDescent="0.35">
      <c r="A43" s="35" t="s">
        <v>36</v>
      </c>
      <c r="B43" s="36">
        <v>3942</v>
      </c>
      <c r="C43" s="36">
        <v>3957</v>
      </c>
      <c r="D43" s="36">
        <v>4290</v>
      </c>
    </row>
    <row r="44" spans="1:4" x14ac:dyDescent="0.35">
      <c r="A44" s="35" t="s">
        <v>37</v>
      </c>
      <c r="B44" s="36">
        <v>2409</v>
      </c>
      <c r="C44" s="36">
        <v>2377</v>
      </c>
      <c r="D44" s="36">
        <v>2605</v>
      </c>
    </row>
    <row r="45" spans="1:4" x14ac:dyDescent="0.35">
      <c r="A45" s="35" t="s">
        <v>38</v>
      </c>
      <c r="B45" s="36">
        <v>1717</v>
      </c>
      <c r="C45" s="36">
        <v>1719</v>
      </c>
      <c r="D45" s="36">
        <v>2010</v>
      </c>
    </row>
    <row r="46" spans="1:4" x14ac:dyDescent="0.35">
      <c r="A46" s="34" t="s">
        <v>49</v>
      </c>
      <c r="B46" s="36">
        <v>12475</v>
      </c>
      <c r="C46" s="36">
        <v>12405</v>
      </c>
      <c r="D46" s="36">
        <v>14309</v>
      </c>
    </row>
    <row r="47" spans="1:4" x14ac:dyDescent="0.35">
      <c r="A47" s="35" t="s">
        <v>11</v>
      </c>
      <c r="B47" s="36">
        <v>1481</v>
      </c>
      <c r="C47" s="36">
        <v>1478</v>
      </c>
      <c r="D47" s="36">
        <v>1452</v>
      </c>
    </row>
    <row r="48" spans="1:4" x14ac:dyDescent="0.35">
      <c r="A48" s="35" t="s">
        <v>36</v>
      </c>
      <c r="B48" s="36">
        <v>4022</v>
      </c>
      <c r="C48" s="36">
        <v>3947</v>
      </c>
      <c r="D48" s="36">
        <v>4858</v>
      </c>
    </row>
    <row r="49" spans="1:4" x14ac:dyDescent="0.35">
      <c r="A49" s="35" t="s">
        <v>37</v>
      </c>
      <c r="B49" s="36">
        <v>3879</v>
      </c>
      <c r="C49" s="36">
        <v>3885</v>
      </c>
      <c r="D49" s="36">
        <v>4528</v>
      </c>
    </row>
    <row r="50" spans="1:4" x14ac:dyDescent="0.35">
      <c r="A50" s="35" t="s">
        <v>38</v>
      </c>
      <c r="B50" s="36">
        <v>3093</v>
      </c>
      <c r="C50" s="36">
        <v>3095</v>
      </c>
      <c r="D50" s="36">
        <v>3471</v>
      </c>
    </row>
    <row r="51" spans="1:4" x14ac:dyDescent="0.35">
      <c r="A51" s="34" t="s">
        <v>51</v>
      </c>
      <c r="B51" s="36">
        <v>7975</v>
      </c>
      <c r="C51" s="36">
        <v>7840</v>
      </c>
      <c r="D51" s="36">
        <v>7829</v>
      </c>
    </row>
    <row r="52" spans="1:4" x14ac:dyDescent="0.35">
      <c r="A52" s="35" t="s">
        <v>11</v>
      </c>
      <c r="B52" s="36">
        <v>1818</v>
      </c>
      <c r="C52" s="36">
        <v>1800</v>
      </c>
      <c r="D52" s="36">
        <v>1841</v>
      </c>
    </row>
    <row r="53" spans="1:4" x14ac:dyDescent="0.35">
      <c r="A53" s="35" t="s">
        <v>36</v>
      </c>
      <c r="B53" s="36">
        <v>3128</v>
      </c>
      <c r="C53" s="36">
        <v>3072</v>
      </c>
      <c r="D53" s="36">
        <v>3066</v>
      </c>
    </row>
    <row r="54" spans="1:4" x14ac:dyDescent="0.35">
      <c r="A54" s="35" t="s">
        <v>37</v>
      </c>
      <c r="B54" s="36">
        <v>1804</v>
      </c>
      <c r="C54" s="36">
        <v>1758</v>
      </c>
      <c r="D54" s="36">
        <v>1725</v>
      </c>
    </row>
    <row r="55" spans="1:4" x14ac:dyDescent="0.35">
      <c r="A55" s="35" t="s">
        <v>38</v>
      </c>
      <c r="B55" s="36">
        <v>1225</v>
      </c>
      <c r="C55" s="36">
        <v>1210</v>
      </c>
      <c r="D55" s="36">
        <v>1197</v>
      </c>
    </row>
    <row r="56" spans="1:4" x14ac:dyDescent="0.35">
      <c r="A56" s="34" t="s">
        <v>108</v>
      </c>
      <c r="B56" s="36">
        <v>112027</v>
      </c>
      <c r="C56" s="36">
        <v>111232</v>
      </c>
      <c r="D56" s="36">
        <v>119785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Calculations</vt:lpstr>
      <vt:lpstr>Promo_Stockout_ Impact</vt:lpstr>
      <vt:lpstr>Forecast_Accuracy Metrics</vt:lpstr>
      <vt:lpstr>Monthly Forecast Accuracy Trend</vt:lpstr>
      <vt:lpstr>Region Category</vt:lpstr>
      <vt:lpstr>SKU_Pareto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Mohanty</cp:lastModifiedBy>
  <dcterms:created xsi:type="dcterms:W3CDTF">2026-05-05T07:13:53Z</dcterms:created>
  <dcterms:modified xsi:type="dcterms:W3CDTF">2026-06-18T16:25:34Z</dcterms:modified>
</cp:coreProperties>
</file>